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rone — Airframe &amp; Propulsion" sheetId="2" state="visible" r:id="rId2"/>
    <sheet xmlns:r="http://schemas.openxmlformats.org/officeDocument/2006/relationships" name="Drone — Avionics, Power &amp; C2" sheetId="3" state="visible" r:id="rId3"/>
    <sheet xmlns:r="http://schemas.openxmlformats.org/officeDocument/2006/relationships" name="Drone — Net Payload" sheetId="4" state="visible" r:id="rId4"/>
    <sheet xmlns:r="http://schemas.openxmlformats.org/officeDocument/2006/relationships" name="Forensic Appliance (ForensIQ-1)" sheetId="5" state="visible" r:id="rId5"/>
    <sheet xmlns:r="http://schemas.openxmlformats.org/officeDocument/2006/relationships" name="Fasteners, Wiring &amp; Consumables" sheetId="6" state="visible" r:id="rId6"/>
    <sheet xmlns:r="http://schemas.openxmlformats.org/officeDocument/2006/relationships" name="Outsourced Fabrication" sheetId="7" state="visible" r:id="rId7"/>
    <sheet xmlns:r="http://schemas.openxmlformats.org/officeDocument/2006/relationships" name="Shop Tools &amp; Equipment" sheetId="8" state="visible" r:id="rId8"/>
    <sheet xmlns:r="http://schemas.openxmlformats.org/officeDocument/2006/relationships" name="Cost Roll-u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b val="1"/>
    </font>
    <font>
      <b val="1"/>
      <color rgb="00FFFFFF"/>
    </font>
    <font>
      <b val="1"/>
      <color rgb="0086855F"/>
      <sz val="18"/>
    </font>
    <font>
      <color rgb="00222222"/>
      <sz val="11"/>
    </font>
    <font>
      <b val="1"/>
      <color rgb="00222222"/>
      <sz val="12"/>
    </font>
    <font>
      <sz val="11"/>
    </font>
    <font>
      <b val="1"/>
      <color rgb="00B02828"/>
      <sz val="12"/>
    </font>
    <font>
      <color rgb="00888888"/>
      <sz val="9"/>
    </font>
    <font>
      <b val="1"/>
      <sz val="12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86855F"/>
      </patternFill>
    </fill>
    <fill>
      <patternFill patternType="solid">
        <fgColor rgb="00F6E6C4"/>
      </patternFill>
    </fill>
    <fill>
      <patternFill patternType="solid">
        <fgColor rgb="00D6E4F0"/>
      </patternFill>
    </fill>
    <fill>
      <patternFill patternType="solid">
        <fgColor rgb="00DDEAD0"/>
      </patternFill>
    </fill>
    <fill>
      <patternFill patternType="solid">
        <fgColor rgb="00ECECE8"/>
      </patternFill>
    </fill>
  </fills>
  <borders count="2">
    <border>
      <left/>
      <right/>
      <top/>
      <bottom/>
      <diagonal/>
    </border>
    <border>
      <left style="thin">
        <color rgb="00B8B8AE"/>
      </left>
      <right style="thin">
        <color rgb="00B8B8AE"/>
      </right>
      <top style="thin">
        <color rgb="00B8B8AE"/>
      </top>
      <bottom style="thin">
        <color rgb="00B8B8AE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0" fillId="5" borderId="0" pivotButton="0" quotePrefix="0" xfId="0"/>
    <xf numFmtId="0" fontId="8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0" fillId="6" borderId="0" pivotButton="0" quotePrefix="0" xfId="0"/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/>
    </xf>
    <xf numFmtId="164" fontId="4" fillId="2" borderId="0" pivotButton="0" quotePrefix="0" xfId="0"/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3" fillId="0" borderId="0" pivotButton="0" quotePrefix="0" xfId="0"/>
    <xf numFmtId="164" fontId="3" fillId="0" borderId="0" pivotButton="0" quotePrefix="0" xfId="0"/>
    <xf numFmtId="164" fontId="0" fillId="0" borderId="0" pivotButton="0" quotePrefix="0" xfId="0"/>
    <xf numFmtId="0" fontId="11" fillId="0" borderId="0" pivotButton="0" quotePrefix="0" xfId="0"/>
    <xf numFmtId="164" fontId="1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0" customWidth="1" min="2" max="2"/>
  </cols>
  <sheetData>
    <row r="2">
      <c r="B2" s="1" t="inlineStr">
        <is>
          <t>TaloNet — Bill of Materials &amp; Procurement Package</t>
        </is>
      </c>
    </row>
    <row r="3">
      <c r="B3" s="2" t="inlineStr">
        <is>
          <t>그물매 net-interceptor drone + ForensIQ-1 forensic appliance</t>
        </is>
      </c>
    </row>
    <row r="5">
      <c r="B5" s="3" t="inlineStr">
        <is>
          <t>HOW TO USE</t>
        </is>
      </c>
    </row>
    <row r="6">
      <c r="B6" s="2" t="inlineStr">
        <is>
          <t>One sheet per subsystem. Disp = MAKE (garage) / BUY (off-the-shelf) / OUTSOURCE (CNC/PCB/finish) / TOOL (one-time shop). Ext USD = Qty x Unit (formula). 'Cost Roll-up' sums every sheet. Prices are INDICATIVE USD — confirm with the vendor before ordering.</t>
        </is>
      </c>
    </row>
    <row r="8">
      <c r="B8" s="3" t="inlineStr">
        <is>
          <t>LEGEND</t>
        </is>
      </c>
    </row>
    <row r="9">
      <c r="A9" s="4" t="n"/>
      <c r="B9" s="5" t="inlineStr">
        <is>
          <t xml:space="preserve">   MAKE  —  fabricate/assemble in the garage (3D print, net rigging, wiring)</t>
        </is>
      </c>
    </row>
    <row r="10">
      <c r="A10" s="6" t="n"/>
      <c r="B10" s="5" t="inlineStr">
        <is>
          <t xml:space="preserve">   BUY  —  purchase off-the-shelf</t>
        </is>
      </c>
    </row>
    <row r="11">
      <c r="A11" s="7" t="n"/>
      <c r="B11" s="5" t="inlineStr">
        <is>
          <t xml:space="preserve">   OUTSOURCE  —  send a drawing/gerber out (CNC carbon, PCB fab+assembly, anodize)</t>
        </is>
      </c>
    </row>
    <row r="12">
      <c r="A12" s="8" t="n"/>
      <c r="B12" s="5" t="inlineStr">
        <is>
          <t xml:space="preserve">   TOOL  —  one-time shop equipment, not part of a single airframe cost</t>
        </is>
      </c>
    </row>
    <row r="14">
      <c r="B14" s="3" t="inlineStr">
        <is>
          <t>TRACE</t>
        </is>
      </c>
    </row>
    <row r="15">
      <c r="B15" s="2" t="inlineStr">
        <is>
          <t>Part numbers trace to docs/01 (drone spec), docs/06 (circuit BOM + pinout), docs/09 (appliance), and gcs/payload_map.py (servo channels). Build/assembly: docs/12_Garage_Build_Guide.md.</t>
        </is>
      </c>
    </row>
    <row r="17">
      <c r="B17" s="9" t="inlineStr">
        <is>
          <t>SAFETY / LEGAL</t>
        </is>
      </c>
    </row>
    <row r="18">
      <c r="B18" s="2" t="inlineStr">
        <is>
          <t>High-energy LiPo, pressurized CO2, and a kinetic net launcher are no joke — see the safety section of docs/12. Counter-UAS use is for authorized operators only; the system is intelligence/control + a human-in-the-loop trigger, never an autonomous weapon.</t>
        </is>
      </c>
    </row>
    <row r="20">
      <c r="B20" s="10" t="inlineStr">
        <is>
          <t>Generated by tools/generate_bom.py — edit + re-run to update.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40" customWidth="1" min="3" max="3"/>
    <col width="26" customWidth="1" min="4" max="4"/>
    <col width="6" customWidth="1" min="5" max="5"/>
    <col width="7" customWidth="1" min="6" max="6"/>
    <col width="11" customWidth="1" min="7" max="7"/>
    <col width="11" customWidth="1" min="8" max="8"/>
    <col width="12" customWidth="1" min="9" max="9"/>
    <col width="18" customWidth="1" min="10" max="10"/>
    <col width="9" customWidth="1" min="11" max="11"/>
    <col width="40" customWidth="1" min="12" max="12"/>
  </cols>
  <sheetData>
    <row r="1" ht="30" customHeight="1">
      <c r="A1" s="11" t="inlineStr">
        <is>
          <t>ID</t>
        </is>
      </c>
      <c r="B1" s="11" t="inlineStr">
        <is>
          <t>Category</t>
        </is>
      </c>
      <c r="C1" s="11" t="inlineStr">
        <is>
          <t>Item / Description</t>
        </is>
      </c>
      <c r="D1" s="11" t="inlineStr">
        <is>
          <t>Mfr / Part No.</t>
        </is>
      </c>
      <c r="E1" s="11" t="inlineStr">
        <is>
          <t>Qty</t>
        </is>
      </c>
      <c r="F1" s="11" t="inlineStr">
        <is>
          <t>Unit</t>
        </is>
      </c>
      <c r="G1" s="11" t="inlineStr">
        <is>
          <t>Disp</t>
        </is>
      </c>
      <c r="H1" s="11" t="inlineStr">
        <is>
          <t>Unit USD</t>
        </is>
      </c>
      <c r="I1" s="11" t="inlineStr">
        <is>
          <t>Ext USD</t>
        </is>
      </c>
      <c r="J1" s="11" t="inlineStr">
        <is>
          <t>Vendor</t>
        </is>
      </c>
      <c r="K1" s="11" t="inlineStr">
        <is>
          <t>Ref</t>
        </is>
      </c>
      <c r="L1" s="11" t="inlineStr">
        <is>
          <t>Notes</t>
        </is>
      </c>
    </row>
    <row r="2">
      <c r="A2" s="12" t="inlineStr">
        <is>
          <t>DR-AF-001</t>
        </is>
      </c>
      <c r="B2" s="12" t="inlineStr">
        <is>
          <t>Frame</t>
        </is>
      </c>
      <c r="C2" s="13" t="inlineStr">
        <is>
          <t>Hex carbon deck plate, 360 mm AF, 3 mm (top/bottom)</t>
        </is>
      </c>
      <c r="D2" s="12" t="inlineStr">
        <is>
          <t>TaloNet GM-DECK (CNC)</t>
        </is>
      </c>
      <c r="E2" s="14" t="n">
        <v>2</v>
      </c>
      <c r="F2" s="14" t="inlineStr">
        <is>
          <t>ea</t>
        </is>
      </c>
      <c r="G2" s="15" t="inlineStr">
        <is>
          <t>OUTSOURCE</t>
        </is>
      </c>
      <c r="H2" s="16" t="n">
        <v>130</v>
      </c>
      <c r="I2" s="16">
        <f>E2*H2</f>
        <v/>
      </c>
      <c r="J2" s="12" t="inlineStr">
        <is>
          <t>Local CNC shop</t>
        </is>
      </c>
      <c r="K2" s="12" t="inlineStr">
        <is>
          <t>cad</t>
        </is>
      </c>
      <c r="L2" s="13" t="inlineStr">
        <is>
          <t>From talonet_frame.scad; CF/G10, waterjet/CNC</t>
        </is>
      </c>
    </row>
    <row r="3">
      <c r="A3" s="12" t="inlineStr">
        <is>
          <t>DR-AF-002</t>
        </is>
      </c>
      <c r="B3" s="12" t="inlineStr">
        <is>
          <t>Frame</t>
        </is>
      </c>
      <c r="C3" s="13" t="inlineStr">
        <is>
          <t>Carbon arm tube 30x26 mm, 420 mm</t>
        </is>
      </c>
      <c r="D3" s="12" t="inlineStr">
        <is>
          <t>Rock West 30x26</t>
        </is>
      </c>
      <c r="E3" s="14" t="n">
        <v>4</v>
      </c>
      <c r="F3" s="14" t="inlineStr">
        <is>
          <t>ea</t>
        </is>
      </c>
      <c r="G3" s="17" t="inlineStr">
        <is>
          <t>BUY</t>
        </is>
      </c>
      <c r="H3" s="16" t="n">
        <v>22</v>
      </c>
      <c r="I3" s="16">
        <f>E3*H3</f>
        <v/>
      </c>
      <c r="J3" s="12" t="inlineStr">
        <is>
          <t>Rock West Composites</t>
        </is>
      </c>
      <c r="K3" s="12" t="inlineStr">
        <is>
          <t>cad</t>
        </is>
      </c>
      <c r="L3" s="13" t="inlineStr">
        <is>
          <t>Roll-wrapped CF; X8 = 4 arms</t>
        </is>
      </c>
    </row>
    <row r="4">
      <c r="A4" s="12" t="inlineStr">
        <is>
          <t>DR-AF-003</t>
        </is>
      </c>
      <c r="B4" s="12" t="inlineStr">
        <is>
          <t>Frame</t>
        </is>
      </c>
      <c r="C4" s="13" t="inlineStr">
        <is>
          <t>Arm clamp + coaxial motor mount (alu 6061)</t>
        </is>
      </c>
      <c r="D4" s="12" t="inlineStr">
        <is>
          <t>TaloNet GM-MNT (CNC)</t>
        </is>
      </c>
      <c r="E4" s="14" t="n">
        <v>4</v>
      </c>
      <c r="F4" s="14" t="inlineStr">
        <is>
          <t>ea</t>
        </is>
      </c>
      <c r="G4" s="15" t="inlineStr">
        <is>
          <t>OUTSOURCE</t>
        </is>
      </c>
      <c r="H4" s="16" t="n">
        <v>38</v>
      </c>
      <c r="I4" s="16">
        <f>E4*H4</f>
        <v/>
      </c>
      <c r="J4" s="12" t="inlineStr">
        <is>
          <t>Local CNC shop</t>
        </is>
      </c>
      <c r="K4" s="12" t="inlineStr">
        <is>
          <t>cad</t>
        </is>
      </c>
      <c r="L4" s="13" t="inlineStr">
        <is>
          <t>Holds 2 coaxial motors/arm</t>
        </is>
      </c>
    </row>
    <row r="5">
      <c r="A5" s="12" t="inlineStr">
        <is>
          <t>DR-AF-004</t>
        </is>
      </c>
      <c r="B5" s="12" t="inlineStr">
        <is>
          <t>Frame</t>
        </is>
      </c>
      <c r="C5" s="13" t="inlineStr">
        <is>
          <t>Standoff/spacer set, alu, deck stack</t>
        </is>
      </c>
      <c r="D5" s="12" t="inlineStr">
        <is>
          <t>M3 alu standoff kit</t>
        </is>
      </c>
      <c r="E5" s="14" t="n">
        <v>1</v>
      </c>
      <c r="F5" s="14" t="inlineStr">
        <is>
          <t>kit</t>
        </is>
      </c>
      <c r="G5" s="17" t="inlineStr">
        <is>
          <t>BUY</t>
        </is>
      </c>
      <c r="H5" s="16" t="n">
        <v>18</v>
      </c>
      <c r="I5" s="16">
        <f>E5*H5</f>
        <v/>
      </c>
      <c r="J5" s="12" t="inlineStr">
        <is>
          <t>McMaster-Carr</t>
        </is>
      </c>
      <c r="K5" s="12" t="inlineStr">
        <is>
          <t>cad</t>
        </is>
      </c>
      <c r="L5" s="13" t="inlineStr">
        <is>
          <t>deck_gap 70 mm</t>
        </is>
      </c>
    </row>
    <row r="6">
      <c r="A6" s="12" t="inlineStr">
        <is>
          <t>DR-AF-005</t>
        </is>
      </c>
      <c r="B6" s="12" t="inlineStr">
        <is>
          <t>Landing</t>
        </is>
      </c>
      <c r="C6" s="13" t="inlineStr">
        <is>
          <t>Landing gear carbon arch tube 22 mm + alu feet</t>
        </is>
      </c>
      <c r="D6" s="12" t="inlineStr">
        <is>
          <t>TaloNet GM-GEAR</t>
        </is>
      </c>
      <c r="E6" s="14" t="n">
        <v>2</v>
      </c>
      <c r="F6" s="14" t="inlineStr">
        <is>
          <t>set</t>
        </is>
      </c>
      <c r="G6" s="15" t="inlineStr">
        <is>
          <t>OUTSOURCE</t>
        </is>
      </c>
      <c r="H6" s="16" t="n">
        <v>45</v>
      </c>
      <c r="I6" s="16">
        <f>E6*H6</f>
        <v/>
      </c>
      <c r="J6" s="12" t="inlineStr">
        <is>
          <t>Local CNC shop</t>
        </is>
      </c>
      <c r="K6" s="12" t="inlineStr">
        <is>
          <t>cad</t>
        </is>
      </c>
      <c r="L6" s="13" t="inlineStr">
        <is>
          <t>gear_height 230 mm</t>
        </is>
      </c>
    </row>
    <row r="7">
      <c r="A7" s="12" t="inlineStr">
        <is>
          <t>DR-PR-001</t>
        </is>
      </c>
      <c r="B7" s="12" t="inlineStr">
        <is>
          <t>Propulsion</t>
        </is>
      </c>
      <c r="C7" s="13" t="inlineStr">
        <is>
          <t>Brushless motor, 14 kg-class octo, ~KV120</t>
        </is>
      </c>
      <c r="D7" s="12" t="inlineStr">
        <is>
          <t>T-Motor MN801S KV120</t>
        </is>
      </c>
      <c r="E7" s="14" t="n">
        <v>8</v>
      </c>
      <c r="F7" s="14" t="inlineStr">
        <is>
          <t>ea</t>
        </is>
      </c>
      <c r="G7" s="17" t="inlineStr">
        <is>
          <t>BUY</t>
        </is>
      </c>
      <c r="H7" s="16" t="n">
        <v>175</v>
      </c>
      <c r="I7" s="16">
        <f>E7*H7</f>
        <v/>
      </c>
      <c r="J7" s="12" t="inlineStr">
        <is>
          <t>T-Motor</t>
        </is>
      </c>
      <c r="K7" s="12" t="inlineStr">
        <is>
          <t>docs/01</t>
        </is>
      </c>
      <c r="L7" s="13" t="inlineStr">
        <is>
          <t>X8 coaxial; 8 motors total</t>
        </is>
      </c>
    </row>
    <row r="8">
      <c r="A8" s="12" t="inlineStr">
        <is>
          <t>DR-PR-002</t>
        </is>
      </c>
      <c r="B8" s="12" t="inlineStr">
        <is>
          <t>Propulsion</t>
        </is>
      </c>
      <c r="C8" s="13" t="inlineStr">
        <is>
          <t>Folding CF prop ~28-30 in (CW/CCW pair)</t>
        </is>
      </c>
      <c r="D8" s="12" t="inlineStr">
        <is>
          <t>T-Motor NS28x9.2 CF</t>
        </is>
      </c>
      <c r="E8" s="14" t="n">
        <v>8</v>
      </c>
      <c r="F8" s="14" t="inlineStr">
        <is>
          <t>ea</t>
        </is>
      </c>
      <c r="G8" s="17" t="inlineStr">
        <is>
          <t>BUY</t>
        </is>
      </c>
      <c r="H8" s="16" t="n">
        <v>46</v>
      </c>
      <c r="I8" s="16">
        <f>E8*H8</f>
        <v/>
      </c>
      <c r="J8" s="12" t="inlineStr">
        <is>
          <t>T-Motor</t>
        </is>
      </c>
      <c r="K8" s="12" t="inlineStr">
        <is>
          <t>cad</t>
        </is>
      </c>
      <c r="L8" s="13" t="inlineStr">
        <is>
          <t>prop_dia ~711 mm</t>
        </is>
      </c>
    </row>
    <row r="9">
      <c r="A9" s="12" t="inlineStr">
        <is>
          <t>DR-PR-003</t>
        </is>
      </c>
      <c r="B9" s="12" t="inlineStr">
        <is>
          <t>Propulsion</t>
        </is>
      </c>
      <c r="C9" s="13" t="inlineStr">
        <is>
          <t>ESC 80 A 12S HV, DShot600 + telemetry</t>
        </is>
      </c>
      <c r="D9" s="12" t="inlineStr">
        <is>
          <t>T-Motor FLAME 80A 12S</t>
        </is>
      </c>
      <c r="E9" s="14" t="n">
        <v>8</v>
      </c>
      <c r="F9" s="14" t="inlineStr">
        <is>
          <t>ea</t>
        </is>
      </c>
      <c r="G9" s="17" t="inlineStr">
        <is>
          <t>BUY</t>
        </is>
      </c>
      <c r="H9" s="16" t="n">
        <v>95</v>
      </c>
      <c r="I9" s="16">
        <f>E9*H9</f>
        <v/>
      </c>
      <c r="J9" s="12" t="inlineStr">
        <is>
          <t>T-Motor</t>
        </is>
      </c>
      <c r="K9" s="12" t="inlineStr">
        <is>
          <t>docs/06</t>
        </is>
      </c>
      <c r="L9" s="13" t="inlineStr">
        <is>
          <t>1 per motor</t>
        </is>
      </c>
    </row>
    <row r="10">
      <c r="H10" s="18" t="inlineStr">
        <is>
          <t>SUBTOTAL</t>
        </is>
      </c>
      <c r="I10" s="19">
        <f>SUM(I2:I9)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40" customWidth="1" min="3" max="3"/>
    <col width="26" customWidth="1" min="4" max="4"/>
    <col width="6" customWidth="1" min="5" max="5"/>
    <col width="7" customWidth="1" min="6" max="6"/>
    <col width="11" customWidth="1" min="7" max="7"/>
    <col width="11" customWidth="1" min="8" max="8"/>
    <col width="12" customWidth="1" min="9" max="9"/>
    <col width="18" customWidth="1" min="10" max="10"/>
    <col width="9" customWidth="1" min="11" max="11"/>
    <col width="40" customWidth="1" min="12" max="12"/>
  </cols>
  <sheetData>
    <row r="1" ht="30" customHeight="1">
      <c r="A1" s="11" t="inlineStr">
        <is>
          <t>ID</t>
        </is>
      </c>
      <c r="B1" s="11" t="inlineStr">
        <is>
          <t>Category</t>
        </is>
      </c>
      <c r="C1" s="11" t="inlineStr">
        <is>
          <t>Item / Description</t>
        </is>
      </c>
      <c r="D1" s="11" t="inlineStr">
        <is>
          <t>Mfr / Part No.</t>
        </is>
      </c>
      <c r="E1" s="11" t="inlineStr">
        <is>
          <t>Qty</t>
        </is>
      </c>
      <c r="F1" s="11" t="inlineStr">
        <is>
          <t>Unit</t>
        </is>
      </c>
      <c r="G1" s="11" t="inlineStr">
        <is>
          <t>Disp</t>
        </is>
      </c>
      <c r="H1" s="11" t="inlineStr">
        <is>
          <t>Unit USD</t>
        </is>
      </c>
      <c r="I1" s="11" t="inlineStr">
        <is>
          <t>Ext USD</t>
        </is>
      </c>
      <c r="J1" s="11" t="inlineStr">
        <is>
          <t>Vendor</t>
        </is>
      </c>
      <c r="K1" s="11" t="inlineStr">
        <is>
          <t>Ref</t>
        </is>
      </c>
      <c r="L1" s="11" t="inlineStr">
        <is>
          <t>Notes</t>
        </is>
      </c>
    </row>
    <row r="2">
      <c r="A2" s="12" t="inlineStr">
        <is>
          <t>DR-AV-001</t>
        </is>
      </c>
      <c r="B2" s="12" t="inlineStr">
        <is>
          <t>Flight ctrl</t>
        </is>
      </c>
      <c r="C2" s="13" t="inlineStr">
        <is>
          <t>Flight controller, triple-IMU + carrier</t>
        </is>
      </c>
      <c r="D2" s="12" t="inlineStr">
        <is>
          <t>CubePilot Cube Orange+</t>
        </is>
      </c>
      <c r="E2" s="14" t="n">
        <v>1</v>
      </c>
      <c r="F2" s="14" t="inlineStr">
        <is>
          <t>ea</t>
        </is>
      </c>
      <c r="G2" s="17" t="inlineStr">
        <is>
          <t>BUY</t>
        </is>
      </c>
      <c r="H2" s="16" t="n">
        <v>430</v>
      </c>
      <c r="I2" s="16">
        <f>E2*H2</f>
        <v/>
      </c>
      <c r="J2" s="12" t="inlineStr">
        <is>
          <t>CubePilot / IRLock</t>
        </is>
      </c>
      <c r="K2" s="12" t="inlineStr">
        <is>
          <t>docs/06</t>
        </is>
      </c>
      <c r="L2" s="13" t="inlineStr">
        <is>
          <t>ArduPilot; SERVO/RELAY outputs</t>
        </is>
      </c>
    </row>
    <row r="3">
      <c r="A3" s="12" t="inlineStr">
        <is>
          <t>DR-AV-002</t>
        </is>
      </c>
      <c r="B3" s="12" t="inlineStr">
        <is>
          <t>GNSS</t>
        </is>
      </c>
      <c r="C3" s="13" t="inlineStr">
        <is>
          <t>GNSS receiver w/ Galileo OSNMA</t>
        </is>
      </c>
      <c r="D3" s="12" t="inlineStr">
        <is>
          <t>Septentrio mosaic-X5 board</t>
        </is>
      </c>
      <c r="E3" s="14" t="n">
        <v>1</v>
      </c>
      <c r="F3" s="14" t="inlineStr">
        <is>
          <t>ea</t>
        </is>
      </c>
      <c r="G3" s="17" t="inlineStr">
        <is>
          <t>BUY</t>
        </is>
      </c>
      <c r="H3" s="16" t="n">
        <v>620</v>
      </c>
      <c r="I3" s="16">
        <f>E3*H3</f>
        <v/>
      </c>
      <c r="J3" s="12" t="inlineStr">
        <is>
          <t>Septentrio</t>
        </is>
      </c>
      <c r="K3" s="12" t="inlineStr">
        <is>
          <t>docs/06</t>
        </is>
      </c>
      <c r="L3" s="13" t="inlineStr">
        <is>
          <t>anti-spoof authenticated nav</t>
        </is>
      </c>
    </row>
    <row r="4">
      <c r="A4" s="12" t="inlineStr">
        <is>
          <t>DR-AV-003</t>
        </is>
      </c>
      <c r="B4" s="12" t="inlineStr">
        <is>
          <t>GNSS</t>
        </is>
      </c>
      <c r="C4" s="13" t="inlineStr">
        <is>
          <t>Secondary GNSS/compass (CAN)</t>
        </is>
      </c>
      <c r="D4" s="12" t="inlineStr">
        <is>
          <t>Hex Here3+</t>
        </is>
      </c>
      <c r="E4" s="14" t="n">
        <v>1</v>
      </c>
      <c r="F4" s="14" t="inlineStr">
        <is>
          <t>ea</t>
        </is>
      </c>
      <c r="G4" s="17" t="inlineStr">
        <is>
          <t>BUY</t>
        </is>
      </c>
      <c r="H4" s="16" t="n">
        <v>120</v>
      </c>
      <c r="I4" s="16">
        <f>E4*H4</f>
        <v/>
      </c>
      <c r="J4" s="12" t="inlineStr">
        <is>
          <t>CubePilot</t>
        </is>
      </c>
      <c r="K4" s="12" t="inlineStr">
        <is>
          <t>docs/06</t>
        </is>
      </c>
      <c r="L4" s="13" t="inlineStr">
        <is>
          <t>RAIM cross-check</t>
        </is>
      </c>
    </row>
    <row r="5">
      <c r="A5" s="12" t="inlineStr">
        <is>
          <t>DR-AV-004</t>
        </is>
      </c>
      <c r="B5" s="12" t="inlineStr">
        <is>
          <t>Compute</t>
        </is>
      </c>
      <c r="C5" s="13" t="inlineStr">
        <is>
          <t>Companion compute module + carrier</t>
        </is>
      </c>
      <c r="D5" s="12" t="inlineStr">
        <is>
          <t>NVIDIA Jetson AGX Orin 32GB</t>
        </is>
      </c>
      <c r="E5" s="14" t="n">
        <v>1</v>
      </c>
      <c r="F5" s="14" t="inlineStr">
        <is>
          <t>ea</t>
        </is>
      </c>
      <c r="G5" s="17" t="inlineStr">
        <is>
          <t>BUY</t>
        </is>
      </c>
      <c r="H5" s="16" t="n">
        <v>1199</v>
      </c>
      <c r="I5" s="16">
        <f>E5*H5</f>
        <v/>
      </c>
      <c r="J5" s="12" t="inlineStr">
        <is>
          <t>NVIDIA / Seeed</t>
        </is>
      </c>
      <c r="K5" s="12" t="inlineStr">
        <is>
          <t>docs/06</t>
        </is>
      </c>
      <c r="L5" s="13" t="inlineStr">
        <is>
          <t>EO/IR pipeline + defense/ ; VLM removed from loop</t>
        </is>
      </c>
    </row>
    <row r="6">
      <c r="A6" s="12" t="inlineStr">
        <is>
          <t>DR-AV-005</t>
        </is>
      </c>
      <c r="B6" s="12" t="inlineStr">
        <is>
          <t>C2 radio</t>
        </is>
      </c>
      <c r="C6" s="13" t="inlineStr">
        <is>
          <t>Long-range telemetry radio pair, 900 MHz</t>
        </is>
      </c>
      <c r="D6" s="12" t="inlineStr">
        <is>
          <t>RFD900x (pair)</t>
        </is>
      </c>
      <c r="E6" s="14" t="n">
        <v>1</v>
      </c>
      <c r="F6" s="14" t="inlineStr">
        <is>
          <t>pr</t>
        </is>
      </c>
      <c r="G6" s="17" t="inlineStr">
        <is>
          <t>BUY</t>
        </is>
      </c>
      <c r="H6" s="16" t="n">
        <v>200</v>
      </c>
      <c r="I6" s="16">
        <f>E6*H6</f>
        <v/>
      </c>
      <c r="J6" s="12" t="inlineStr">
        <is>
          <t>RFDesign</t>
        </is>
      </c>
      <c r="K6" s="12" t="inlineStr">
        <is>
          <t>docs/06</t>
        </is>
      </c>
      <c r="L6" s="13" t="inlineStr">
        <is>
          <t>MAVLink2 link to GCS</t>
        </is>
      </c>
    </row>
    <row r="7">
      <c r="A7" s="12" t="inlineStr">
        <is>
          <t>DR-AV-006</t>
        </is>
      </c>
      <c r="B7" s="12" t="inlineStr">
        <is>
          <t>Camera</t>
        </is>
      </c>
      <c r="C7" s="13" t="inlineStr">
        <is>
          <t>EO/IR gimbal camera (FPV feed)</t>
        </is>
      </c>
      <c r="D7" s="12" t="inlineStr">
        <is>
          <t>Workswell/SIYI ZT6 EO+IR</t>
        </is>
      </c>
      <c r="E7" s="14" t="n">
        <v>1</v>
      </c>
      <c r="F7" s="14" t="inlineStr">
        <is>
          <t>ea</t>
        </is>
      </c>
      <c r="G7" s="17" t="inlineStr">
        <is>
          <t>BUY</t>
        </is>
      </c>
      <c r="H7" s="16" t="n">
        <v>950</v>
      </c>
      <c r="I7" s="16">
        <f>E7*H7</f>
        <v/>
      </c>
      <c r="J7" s="12" t="inlineStr">
        <is>
          <t>SIYI</t>
        </is>
      </c>
      <c r="K7" s="12" t="inlineStr">
        <is>
          <t>docs/07</t>
        </is>
      </c>
      <c r="L7" s="13" t="inlineStr">
        <is>
          <t>RTSP/UDP to gcs cockpit</t>
        </is>
      </c>
    </row>
    <row r="8">
      <c r="A8" s="12" t="inlineStr">
        <is>
          <t>DR-PW-001</t>
        </is>
      </c>
      <c r="B8" s="12" t="inlineStr">
        <is>
          <t>Power</t>
        </is>
      </c>
      <c r="C8" s="13" t="inlineStr">
        <is>
          <t>12S6P Li-ion / LiPo pack ~22 Ah</t>
        </is>
      </c>
      <c r="D8" s="12" t="inlineStr">
        <is>
          <t>Tattu 12S 22000 mAh</t>
        </is>
      </c>
      <c r="E8" s="14" t="n">
        <v>1</v>
      </c>
      <c r="F8" s="14" t="inlineStr">
        <is>
          <t>ea</t>
        </is>
      </c>
      <c r="G8" s="17" t="inlineStr">
        <is>
          <t>BUY</t>
        </is>
      </c>
      <c r="H8" s="16" t="n">
        <v>520</v>
      </c>
      <c r="I8" s="16">
        <f>E8*H8</f>
        <v/>
      </c>
      <c r="J8" s="12" t="inlineStr">
        <is>
          <t>Tattu / GensAce</t>
        </is>
      </c>
      <c r="K8" s="12" t="inlineStr">
        <is>
          <t>docs/01</t>
        </is>
      </c>
      <c r="L8" s="13" t="inlineStr">
        <is>
          <t>endurance/range driver</t>
        </is>
      </c>
    </row>
    <row r="9">
      <c r="A9" s="12" t="inlineStr">
        <is>
          <t>DR-PW-002</t>
        </is>
      </c>
      <c r="B9" s="12" t="inlineStr">
        <is>
          <t>Power</t>
        </is>
      </c>
      <c r="C9" s="13" t="inlineStr">
        <is>
          <t>Power module / current sensor 200 A</t>
        </is>
      </c>
      <c r="D9" s="12" t="inlineStr">
        <is>
          <t>Mauch HS-200-HV + PowerCube</t>
        </is>
      </c>
      <c r="E9" s="14" t="n">
        <v>1</v>
      </c>
      <c r="F9" s="14" t="inlineStr">
        <is>
          <t>ea</t>
        </is>
      </c>
      <c r="G9" s="17" t="inlineStr">
        <is>
          <t>BUY</t>
        </is>
      </c>
      <c r="H9" s="16" t="n">
        <v>95</v>
      </c>
      <c r="I9" s="16">
        <f>E9*H9</f>
        <v/>
      </c>
      <c r="J9" s="12" t="inlineStr">
        <is>
          <t>Mauch</t>
        </is>
      </c>
      <c r="K9" s="12" t="inlineStr">
        <is>
          <t>docs/06</t>
        </is>
      </c>
      <c r="L9" s="13" t="inlineStr">
        <is>
          <t>I2C power monitor</t>
        </is>
      </c>
    </row>
    <row r="10">
      <c r="A10" s="12" t="inlineStr">
        <is>
          <t>DR-PW-003</t>
        </is>
      </c>
      <c r="B10" s="12" t="inlineStr">
        <is>
          <t>Power</t>
        </is>
      </c>
      <c r="C10" s="13" t="inlineStr">
        <is>
          <t>5.3 V/8 A BEC (redundant, OR-ing)</t>
        </is>
      </c>
      <c r="D10" s="12" t="inlineStr">
        <is>
          <t>Mauch 5.3V/8A BEC</t>
        </is>
      </c>
      <c r="E10" s="14" t="n">
        <v>2</v>
      </c>
      <c r="F10" s="14" t="inlineStr">
        <is>
          <t>ea</t>
        </is>
      </c>
      <c r="G10" s="17" t="inlineStr">
        <is>
          <t>BUY</t>
        </is>
      </c>
      <c r="H10" s="16" t="n">
        <v>28</v>
      </c>
      <c r="I10" s="16">
        <f>E10*H10</f>
        <v/>
      </c>
      <c r="J10" s="12" t="inlineStr">
        <is>
          <t>Mauch</t>
        </is>
      </c>
      <c r="K10" s="12" t="inlineStr">
        <is>
          <t>docs/06</t>
        </is>
      </c>
      <c r="L10" s="13" t="inlineStr">
        <is>
          <t>avionics bus</t>
        </is>
      </c>
    </row>
    <row r="11">
      <c r="A11" s="12" t="inlineStr">
        <is>
          <t>DR-PW-004</t>
        </is>
      </c>
      <c r="B11" s="12" t="inlineStr">
        <is>
          <t>Power</t>
        </is>
      </c>
      <c r="C11" s="13" t="inlineStr">
        <is>
          <t>Main connectors + precharge (AS150/XT90-S)</t>
        </is>
      </c>
      <c r="D11" s="12" t="inlineStr">
        <is>
          <t>AS150 + XT90-S set</t>
        </is>
      </c>
      <c r="E11" s="14" t="n">
        <v>1</v>
      </c>
      <c r="F11" s="14" t="inlineStr">
        <is>
          <t>set</t>
        </is>
      </c>
      <c r="G11" s="17" t="inlineStr">
        <is>
          <t>BUY</t>
        </is>
      </c>
      <c r="H11" s="16" t="n">
        <v>22</v>
      </c>
      <c r="I11" s="16">
        <f>E11*H11</f>
        <v/>
      </c>
      <c r="J11" s="12" t="inlineStr">
        <is>
          <t>Amass</t>
        </is>
      </c>
      <c r="K11" s="12" t="inlineStr">
        <is>
          <t>docs/06</t>
        </is>
      </c>
      <c r="L11" s="13" t="inlineStr">
        <is>
          <t>inrush limit</t>
        </is>
      </c>
    </row>
    <row r="12">
      <c r="A12" s="12" t="inlineStr">
        <is>
          <t>DR-PW-005</t>
        </is>
      </c>
      <c r="B12" s="12" t="inlineStr">
        <is>
          <t>Power</t>
        </is>
      </c>
      <c r="C12" s="13" t="inlineStr">
        <is>
          <t>Fuse set: ANL 150 A + blade 3-10 A</t>
        </is>
      </c>
      <c r="D12" s="12" t="inlineStr">
        <is>
          <t>Littelfuse ANL/ATO kit</t>
        </is>
      </c>
      <c r="E12" s="14" t="n">
        <v>1</v>
      </c>
      <c r="F12" s="14" t="inlineStr">
        <is>
          <t>kit</t>
        </is>
      </c>
      <c r="G12" s="17" t="inlineStr">
        <is>
          <t>BUY</t>
        </is>
      </c>
      <c r="H12" s="16" t="n">
        <v>24</v>
      </c>
      <c r="I12" s="16">
        <f>E12*H12</f>
        <v/>
      </c>
      <c r="J12" s="12" t="inlineStr">
        <is>
          <t>Littelfuse</t>
        </is>
      </c>
      <c r="K12" s="12" t="inlineStr">
        <is>
          <t>docs/06 §9</t>
        </is>
      </c>
      <c r="L12" s="13" t="inlineStr">
        <is>
          <t>per wire/fuse sizing</t>
        </is>
      </c>
    </row>
    <row r="13">
      <c r="H13" s="18" t="inlineStr">
        <is>
          <t>SUBTOTAL</t>
        </is>
      </c>
      <c r="I13" s="19">
        <f>SUM(I2:I12)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40" customWidth="1" min="3" max="3"/>
    <col width="26" customWidth="1" min="4" max="4"/>
    <col width="6" customWidth="1" min="5" max="5"/>
    <col width="7" customWidth="1" min="6" max="6"/>
    <col width="11" customWidth="1" min="7" max="7"/>
    <col width="11" customWidth="1" min="8" max="8"/>
    <col width="12" customWidth="1" min="9" max="9"/>
    <col width="18" customWidth="1" min="10" max="10"/>
    <col width="9" customWidth="1" min="11" max="11"/>
    <col width="40" customWidth="1" min="12" max="12"/>
  </cols>
  <sheetData>
    <row r="1" ht="30" customHeight="1">
      <c r="A1" s="11" t="inlineStr">
        <is>
          <t>ID</t>
        </is>
      </c>
      <c r="B1" s="11" t="inlineStr">
        <is>
          <t>Category</t>
        </is>
      </c>
      <c r="C1" s="11" t="inlineStr">
        <is>
          <t>Item / Description</t>
        </is>
      </c>
      <c r="D1" s="11" t="inlineStr">
        <is>
          <t>Mfr / Part No.</t>
        </is>
      </c>
      <c r="E1" s="11" t="inlineStr">
        <is>
          <t>Qty</t>
        </is>
      </c>
      <c r="F1" s="11" t="inlineStr">
        <is>
          <t>Unit</t>
        </is>
      </c>
      <c r="G1" s="11" t="inlineStr">
        <is>
          <t>Disp</t>
        </is>
      </c>
      <c r="H1" s="11" t="inlineStr">
        <is>
          <t>Unit USD</t>
        </is>
      </c>
      <c r="I1" s="11" t="inlineStr">
        <is>
          <t>Ext USD</t>
        </is>
      </c>
      <c r="J1" s="11" t="inlineStr">
        <is>
          <t>Vendor</t>
        </is>
      </c>
      <c r="K1" s="11" t="inlineStr">
        <is>
          <t>Ref</t>
        </is>
      </c>
      <c r="L1" s="11" t="inlineStr">
        <is>
          <t>Notes</t>
        </is>
      </c>
    </row>
    <row r="2">
      <c r="A2" s="12" t="inlineStr">
        <is>
          <t>DR-NP-001</t>
        </is>
      </c>
      <c r="B2" s="12" t="inlineStr">
        <is>
          <t>Net aim</t>
        </is>
      </c>
      <c r="C2" s="13" t="inlineStr">
        <is>
          <t>Digital servo 20 kg (AIM-PAN, SERVO9)</t>
        </is>
      </c>
      <c r="D2" s="12" t="inlineStr">
        <is>
          <t>Savox SB-2290SG</t>
        </is>
      </c>
      <c r="E2" s="14" t="n">
        <v>1</v>
      </c>
      <c r="F2" s="14" t="inlineStr">
        <is>
          <t>ea</t>
        </is>
      </c>
      <c r="G2" s="17" t="inlineStr">
        <is>
          <t>BUY</t>
        </is>
      </c>
      <c r="H2" s="16" t="n">
        <v>80</v>
      </c>
      <c r="I2" s="16">
        <f>E2*H2</f>
        <v/>
      </c>
      <c r="J2" s="12" t="inlineStr">
        <is>
          <t>Savox</t>
        </is>
      </c>
      <c r="K2" s="12" t="inlineStr">
        <is>
          <t>payload_map</t>
        </is>
      </c>
      <c r="L2" s="13" t="inlineStr">
        <is>
          <t>gimbal pan -60..+60 deg</t>
        </is>
      </c>
    </row>
    <row r="3">
      <c r="A3" s="12" t="inlineStr">
        <is>
          <t>DR-NP-002</t>
        </is>
      </c>
      <c r="B3" s="12" t="inlineStr">
        <is>
          <t>Net aim</t>
        </is>
      </c>
      <c r="C3" s="13" t="inlineStr">
        <is>
          <t>Digital servo 20 kg (AIM-TILT, SERVO10)</t>
        </is>
      </c>
      <c r="D3" s="12" t="inlineStr">
        <is>
          <t>Savox SB-2290SG</t>
        </is>
      </c>
      <c r="E3" s="14" t="n">
        <v>1</v>
      </c>
      <c r="F3" s="14" t="inlineStr">
        <is>
          <t>ea</t>
        </is>
      </c>
      <c r="G3" s="17" t="inlineStr">
        <is>
          <t>BUY</t>
        </is>
      </c>
      <c r="H3" s="16" t="n">
        <v>80</v>
      </c>
      <c r="I3" s="16">
        <f>E3*H3</f>
        <v/>
      </c>
      <c r="J3" s="12" t="inlineStr">
        <is>
          <t>Savox</t>
        </is>
      </c>
      <c r="K3" s="12" t="inlineStr">
        <is>
          <t>payload_map</t>
        </is>
      </c>
      <c r="L3" s="13" t="inlineStr">
        <is>
          <t>gimbal tilt 0..75 deg</t>
        </is>
      </c>
    </row>
    <row r="4">
      <c r="A4" s="12" t="inlineStr">
        <is>
          <t>DR-NP-003</t>
        </is>
      </c>
      <c r="B4" s="12" t="inlineStr">
        <is>
          <t>Net aim</t>
        </is>
      </c>
      <c r="C4" s="13" t="inlineStr">
        <is>
          <t>Pan/tilt gimbal yoke + bearing (printed/CNC)</t>
        </is>
      </c>
      <c r="D4" s="12" t="inlineStr">
        <is>
          <t>TaloNet GM-GIMBAL</t>
        </is>
      </c>
      <c r="E4" s="14" t="n">
        <v>1</v>
      </c>
      <c r="F4" s="14" t="inlineStr">
        <is>
          <t>set</t>
        </is>
      </c>
      <c r="G4" s="20" t="inlineStr">
        <is>
          <t>MAKE</t>
        </is>
      </c>
      <c r="H4" s="16" t="n">
        <v>35</v>
      </c>
      <c r="I4" s="16">
        <f>E4*H4</f>
        <v/>
      </c>
      <c r="J4" s="12" t="inlineStr">
        <is>
          <t>Garage 3D print</t>
        </is>
      </c>
      <c r="K4" s="12" t="inlineStr">
        <is>
          <t>cad</t>
        </is>
      </c>
      <c r="L4" s="13" t="inlineStr">
        <is>
          <t>net_launcher(); PETG-CF/alu</t>
        </is>
      </c>
    </row>
    <row r="5">
      <c r="A5" s="12" t="inlineStr">
        <is>
          <t>DR-NP-004</t>
        </is>
      </c>
      <c r="B5" s="12" t="inlineStr">
        <is>
          <t>Net aim</t>
        </is>
      </c>
      <c r="C5" s="13" t="inlineStr">
        <is>
          <t>Servo UBEC 6 V / 5 A</t>
        </is>
      </c>
      <c r="D5" s="12" t="inlineStr">
        <is>
          <t>Castle 10A BEC Pro</t>
        </is>
      </c>
      <c r="E5" s="14" t="n">
        <v>1</v>
      </c>
      <c r="F5" s="14" t="inlineStr">
        <is>
          <t>ea</t>
        </is>
      </c>
      <c r="G5" s="17" t="inlineStr">
        <is>
          <t>BUY</t>
        </is>
      </c>
      <c r="H5" s="16" t="n">
        <v>22</v>
      </c>
      <c r="I5" s="16">
        <f>E5*H5</f>
        <v/>
      </c>
      <c r="J5" s="12" t="inlineStr">
        <is>
          <t>Castle Creations</t>
        </is>
      </c>
      <c r="K5" s="12" t="inlineStr">
        <is>
          <t>docs/06</t>
        </is>
      </c>
      <c r="L5" s="13" t="inlineStr">
        <is>
          <t>servo bus, isolated</t>
        </is>
      </c>
    </row>
    <row r="6">
      <c r="A6" s="12" t="inlineStr">
        <is>
          <t>DR-NP-005</t>
        </is>
      </c>
      <c r="B6" s="12" t="inlineStr">
        <is>
          <t>Cinch</t>
        </is>
      </c>
      <c r="C6" s="13" t="inlineStr">
        <is>
          <t>Brushed gearmotor 12 V (mouth cinch)</t>
        </is>
      </c>
      <c r="D6" s="12" t="inlineStr">
        <is>
          <t>Pololu 25D HP 12V</t>
        </is>
      </c>
      <c r="E6" s="14" t="n">
        <v>1</v>
      </c>
      <c r="F6" s="14" t="inlineStr">
        <is>
          <t>ea</t>
        </is>
      </c>
      <c r="G6" s="17" t="inlineStr">
        <is>
          <t>BUY</t>
        </is>
      </c>
      <c r="H6" s="16" t="n">
        <v>40</v>
      </c>
      <c r="I6" s="16">
        <f>E6*H6</f>
        <v/>
      </c>
      <c r="J6" s="12" t="inlineStr">
        <is>
          <t>Pololu</t>
        </is>
      </c>
      <c r="K6" s="12" t="inlineStr">
        <is>
          <t>docs/06</t>
        </is>
      </c>
      <c r="L6" s="13" t="inlineStr">
        <is>
          <t>drawstring spool; SERVO11 driver</t>
        </is>
      </c>
    </row>
    <row r="7">
      <c r="A7" s="12" t="inlineStr">
        <is>
          <t>DR-NP-006</t>
        </is>
      </c>
      <c r="B7" s="12" t="inlineStr">
        <is>
          <t>Cinch</t>
        </is>
      </c>
      <c r="C7" s="13" t="inlineStr">
        <is>
          <t>Motor driver H-bridge w/ current sense</t>
        </is>
      </c>
      <c r="D7" s="12" t="inlineStr">
        <is>
          <t>Pololu G2 24v13</t>
        </is>
      </c>
      <c r="E7" s="14" t="n">
        <v>1</v>
      </c>
      <c r="F7" s="14" t="inlineStr">
        <is>
          <t>ea</t>
        </is>
      </c>
      <c r="G7" s="17" t="inlineStr">
        <is>
          <t>BUY</t>
        </is>
      </c>
      <c r="H7" s="16" t="n">
        <v>30</v>
      </c>
      <c r="I7" s="16">
        <f>E7*H7</f>
        <v/>
      </c>
      <c r="J7" s="12" t="inlineStr">
        <is>
          <t>Pololu</t>
        </is>
      </c>
      <c r="K7" s="12" t="inlineStr">
        <is>
          <t>docs/06</t>
        </is>
      </c>
      <c r="L7" s="13" t="inlineStr">
        <is>
          <t>cinch drive</t>
        </is>
      </c>
    </row>
    <row r="8">
      <c r="A8" s="12" t="inlineStr">
        <is>
          <t>DR-NP-007</t>
        </is>
      </c>
      <c r="B8" s="12" t="inlineStr">
        <is>
          <t>Cinch</t>
        </is>
      </c>
      <c r="C8" s="13" t="inlineStr">
        <is>
          <t>Current sensor breakout</t>
        </is>
      </c>
      <c r="D8" s="12" t="inlineStr">
        <is>
          <t>INA226 module</t>
        </is>
      </c>
      <c r="E8" s="14" t="n">
        <v>1</v>
      </c>
      <c r="F8" s="14" t="inlineStr">
        <is>
          <t>ea</t>
        </is>
      </c>
      <c r="G8" s="17" t="inlineStr">
        <is>
          <t>BUY</t>
        </is>
      </c>
      <c r="H8" s="16" t="n">
        <v>8</v>
      </c>
      <c r="I8" s="16">
        <f>E8*H8</f>
        <v/>
      </c>
      <c r="J8" s="12" t="inlineStr">
        <is>
          <t>Pololu/Adafruit</t>
        </is>
      </c>
      <c r="K8" s="12" t="inlineStr">
        <is>
          <t>docs/06</t>
        </is>
      </c>
      <c r="L8" s="13" t="inlineStr">
        <is>
          <t>tension/stall threshold</t>
        </is>
      </c>
    </row>
    <row r="9">
      <c r="A9" s="12" t="inlineStr">
        <is>
          <t>DR-NP-008</t>
        </is>
      </c>
      <c r="B9" s="12" t="inlineStr">
        <is>
          <t>Cinch</t>
        </is>
      </c>
      <c r="C9" s="13" t="inlineStr">
        <is>
          <t>Drawstring spool + flanges (printed/turned)</t>
        </is>
      </c>
      <c r="D9" s="12" t="inlineStr">
        <is>
          <t>TaloNet GM-SPOOL</t>
        </is>
      </c>
      <c r="E9" s="14" t="n">
        <v>1</v>
      </c>
      <c r="F9" s="14" t="inlineStr">
        <is>
          <t>ea</t>
        </is>
      </c>
      <c r="G9" s="20" t="inlineStr">
        <is>
          <t>MAKE</t>
        </is>
      </c>
      <c r="H9" s="16" t="n">
        <v>12</v>
      </c>
      <c r="I9" s="16">
        <f>E9*H9</f>
        <v/>
      </c>
      <c r="J9" s="12" t="inlineStr">
        <is>
          <t>Garage 3D print</t>
        </is>
      </c>
      <c r="K9" s="12" t="inlineStr">
        <is>
          <t>cad</t>
        </is>
      </c>
      <c r="L9" s="13" t="inlineStr">
        <is>
          <t>cinch_mechanism()</t>
        </is>
      </c>
    </row>
    <row r="10">
      <c r="A10" s="12" t="inlineStr">
        <is>
          <t>DR-NP-009</t>
        </is>
      </c>
      <c r="B10" s="12" t="inlineStr">
        <is>
          <t>Winch</t>
        </is>
      </c>
      <c r="C10" s="13" t="inlineStr">
        <is>
          <t>Brushed gearmotor 12 V (hoist winch)</t>
        </is>
      </c>
      <c r="D10" s="12" t="inlineStr">
        <is>
          <t>Pololu 37D 12V</t>
        </is>
      </c>
      <c r="E10" s="14" t="n">
        <v>1</v>
      </c>
      <c r="F10" s="14" t="inlineStr">
        <is>
          <t>ea</t>
        </is>
      </c>
      <c r="G10" s="17" t="inlineStr">
        <is>
          <t>BUY</t>
        </is>
      </c>
      <c r="H10" s="16" t="n">
        <v>40</v>
      </c>
      <c r="I10" s="16">
        <f>E10*H10</f>
        <v/>
      </c>
      <c r="J10" s="12" t="inlineStr">
        <is>
          <t>Pololu</t>
        </is>
      </c>
      <c r="K10" s="12" t="inlineStr">
        <is>
          <t>docs/06</t>
        </is>
      </c>
      <c r="L10" s="13" t="inlineStr">
        <is>
          <t>vertical recovery</t>
        </is>
      </c>
    </row>
    <row r="11">
      <c r="A11" s="12" t="inlineStr">
        <is>
          <t>DR-NP-010</t>
        </is>
      </c>
      <c r="B11" s="12" t="inlineStr">
        <is>
          <t>Winch</t>
        </is>
      </c>
      <c r="C11" s="13" t="inlineStr">
        <is>
          <t>Motor driver H-bridge 21 A</t>
        </is>
      </c>
      <c r="D11" s="12" t="inlineStr">
        <is>
          <t>Pololu G2 24v21</t>
        </is>
      </c>
      <c r="E11" s="14" t="n">
        <v>1</v>
      </c>
      <c r="F11" s="14" t="inlineStr">
        <is>
          <t>ea</t>
        </is>
      </c>
      <c r="G11" s="17" t="inlineStr">
        <is>
          <t>BUY</t>
        </is>
      </c>
      <c r="H11" s="16" t="n">
        <v>40</v>
      </c>
      <c r="I11" s="16">
        <f>E11*H11</f>
        <v/>
      </c>
      <c r="J11" s="12" t="inlineStr">
        <is>
          <t>Pololu</t>
        </is>
      </c>
      <c r="K11" s="12" t="inlineStr">
        <is>
          <t>docs/06</t>
        </is>
      </c>
      <c r="L11" s="13" t="inlineStr">
        <is>
          <t>winch drive</t>
        </is>
      </c>
    </row>
    <row r="12">
      <c r="A12" s="12" t="inlineStr">
        <is>
          <t>DR-NP-011</t>
        </is>
      </c>
      <c r="B12" s="12" t="inlineStr">
        <is>
          <t>Winch</t>
        </is>
      </c>
      <c r="C12" s="13" t="inlineStr">
        <is>
          <t>Load cell 5 kg + HX711 ADC</t>
        </is>
      </c>
      <c r="D12" s="12" t="inlineStr">
        <is>
          <t>TAL220 + HX711</t>
        </is>
      </c>
      <c r="E12" s="14" t="n">
        <v>1</v>
      </c>
      <c r="F12" s="14" t="inlineStr">
        <is>
          <t>set</t>
        </is>
      </c>
      <c r="G12" s="17" t="inlineStr">
        <is>
          <t>BUY</t>
        </is>
      </c>
      <c r="H12" s="16" t="n">
        <v>11</v>
      </c>
      <c r="I12" s="16">
        <f>E12*H12</f>
        <v/>
      </c>
      <c r="J12" s="12" t="inlineStr">
        <is>
          <t>SparkFun</t>
        </is>
      </c>
      <c r="K12" s="12" t="inlineStr">
        <is>
          <t>docs/06</t>
        </is>
      </c>
      <c r="L12" s="13" t="inlineStr">
        <is>
          <t>winch tension feedback</t>
        </is>
      </c>
    </row>
    <row r="13">
      <c r="A13" s="12" t="inlineStr">
        <is>
          <t>DR-NP-012</t>
        </is>
      </c>
      <c r="B13" s="12" t="inlineStr">
        <is>
          <t>Trigger</t>
        </is>
      </c>
      <c r="C13" s="13" t="inlineStr">
        <is>
          <t>CO2 launcher: solenoid valve + 16 g cartridge</t>
        </is>
      </c>
      <c r="D13" s="12" t="inlineStr">
        <is>
          <t>12V NC CO2 solenoid</t>
        </is>
      </c>
      <c r="E13" s="14" t="n">
        <v>1</v>
      </c>
      <c r="F13" s="14" t="inlineStr">
        <is>
          <t>set</t>
        </is>
      </c>
      <c r="G13" s="17" t="inlineStr">
        <is>
          <t>BUY</t>
        </is>
      </c>
      <c r="H13" s="16" t="n">
        <v>35</v>
      </c>
      <c r="I13" s="16">
        <f>E13*H13</f>
        <v/>
      </c>
      <c r="J13" s="12" t="inlineStr">
        <is>
          <t>Industrial supply</t>
        </is>
      </c>
      <c r="K13" s="12" t="inlineStr">
        <is>
          <t>docs/06</t>
        </is>
      </c>
      <c r="L13" s="13" t="inlineStr">
        <is>
          <t>RELAY0 fired</t>
        </is>
      </c>
    </row>
    <row r="14">
      <c r="A14" s="12" t="inlineStr">
        <is>
          <t>DR-NP-013</t>
        </is>
      </c>
      <c r="B14" s="12" t="inlineStr">
        <is>
          <t>Trigger</t>
        </is>
      </c>
      <c r="C14" s="13" t="inlineStr">
        <is>
          <t>Logic-level MOSFET (low-side switch)</t>
        </is>
      </c>
      <c r="D14" s="12" t="inlineStr">
        <is>
          <t>Infineon IRLB3034PBF</t>
        </is>
      </c>
      <c r="E14" s="14" t="n">
        <v>2</v>
      </c>
      <c r="F14" s="14" t="inlineStr">
        <is>
          <t>ea</t>
        </is>
      </c>
      <c r="G14" s="17" t="inlineStr">
        <is>
          <t>BUY</t>
        </is>
      </c>
      <c r="H14" s="16" t="n">
        <v>2</v>
      </c>
      <c r="I14" s="16">
        <f>E14*H14</f>
        <v/>
      </c>
      <c r="J14" s="12" t="inlineStr">
        <is>
          <t>Mouser</t>
        </is>
      </c>
      <c r="K14" s="12" t="inlineStr">
        <is>
          <t>docs/06</t>
        </is>
      </c>
      <c r="L14" s="13" t="inlineStr">
        <is>
          <t>solenoid/relay drive</t>
        </is>
      </c>
    </row>
    <row r="15">
      <c r="A15" s="12" t="inlineStr">
        <is>
          <t>DR-NP-014</t>
        </is>
      </c>
      <c r="B15" s="12" t="inlineStr">
        <is>
          <t>Trigger</t>
        </is>
      </c>
      <c r="C15" s="13" t="inlineStr">
        <is>
          <t>Arming relay + flyback diode set</t>
        </is>
      </c>
      <c r="D15" s="12" t="inlineStr">
        <is>
          <t>Omron G5LE + 1N5408</t>
        </is>
      </c>
      <c r="E15" s="14" t="n">
        <v>1</v>
      </c>
      <c r="F15" s="14" t="inlineStr">
        <is>
          <t>set</t>
        </is>
      </c>
      <c r="G15" s="17" t="inlineStr">
        <is>
          <t>BUY</t>
        </is>
      </c>
      <c r="H15" s="16" t="n">
        <v>9</v>
      </c>
      <c r="I15" s="16">
        <f>E15*H15</f>
        <v/>
      </c>
      <c r="J15" s="12" t="inlineStr">
        <is>
          <t>Mouser</t>
        </is>
      </c>
      <c r="K15" s="12" t="inlineStr">
        <is>
          <t>docs/06</t>
        </is>
      </c>
      <c r="L15" s="13" t="inlineStr">
        <is>
          <t>arming interlock</t>
        </is>
      </c>
    </row>
    <row r="16">
      <c r="A16" s="12" t="inlineStr">
        <is>
          <t>DR-NP-015</t>
        </is>
      </c>
      <c r="B16" s="12" t="inlineStr">
        <is>
          <t>Release</t>
        </is>
      </c>
      <c r="C16" s="13" t="inlineStr">
        <is>
          <t>Quick-release servo (drop/abort)</t>
        </is>
      </c>
      <c r="D16" s="12" t="inlineStr">
        <is>
          <t>Savox SB-2290SG</t>
        </is>
      </c>
      <c r="E16" s="14" t="n">
        <v>1</v>
      </c>
      <c r="F16" s="14" t="inlineStr">
        <is>
          <t>ea</t>
        </is>
      </c>
      <c r="G16" s="17" t="inlineStr">
        <is>
          <t>BUY</t>
        </is>
      </c>
      <c r="H16" s="16" t="n">
        <v>80</v>
      </c>
      <c r="I16" s="16">
        <f>E16*H16</f>
        <v/>
      </c>
      <c r="J16" s="12" t="inlineStr">
        <is>
          <t>Savox</t>
        </is>
      </c>
      <c r="K16" s="12" t="inlineStr">
        <is>
          <t>payload_map</t>
        </is>
      </c>
      <c r="L16" s="13" t="inlineStr">
        <is>
          <t>SERVO12 release</t>
        </is>
      </c>
    </row>
    <row r="17">
      <c r="A17" s="12" t="inlineStr">
        <is>
          <t>DR-NP-016</t>
        </is>
      </c>
      <c r="B17" s="12" t="inlineStr">
        <is>
          <t>Net</t>
        </is>
      </c>
      <c r="C17" s="13" t="inlineStr">
        <is>
          <t>Capture net, knotless Dyneema/Kevlar, ~3.5 m mouth</t>
        </is>
      </c>
      <c r="D17" s="12" t="inlineStr">
        <is>
          <t>Custom cast net</t>
        </is>
      </c>
      <c r="E17" s="14" t="n">
        <v>1</v>
      </c>
      <c r="F17" s="14" t="inlineStr">
        <is>
          <t>ea</t>
        </is>
      </c>
      <c r="G17" s="20" t="inlineStr">
        <is>
          <t>MAKE</t>
        </is>
      </c>
      <c r="H17" s="16" t="n">
        <v>60</v>
      </c>
      <c r="I17" s="16">
        <f>E17*H17</f>
        <v/>
      </c>
      <c r="J17" s="12" t="inlineStr">
        <is>
          <t>Garage / net maker</t>
        </is>
      </c>
      <c r="K17" s="12" t="inlineStr">
        <is>
          <t>cad</t>
        </is>
      </c>
      <c r="L17" s="13" t="inlineStr">
        <is>
          <t>capture_net(); launched casting net</t>
        </is>
      </c>
    </row>
    <row r="18">
      <c r="A18" s="12" t="inlineStr">
        <is>
          <t>DR-NP-017</t>
        </is>
      </c>
      <c r="B18" s="12" t="inlineStr">
        <is>
          <t>Net</t>
        </is>
      </c>
      <c r="C18" s="13" t="inlineStr">
        <is>
          <t>Drawstring (Dyneema 2 mm) + perimeter weights</t>
        </is>
      </c>
      <c r="D18" s="12" t="inlineStr">
        <is>
          <t>Dyneema + brass weights</t>
        </is>
      </c>
      <c r="E18" s="14" t="n">
        <v>1</v>
      </c>
      <c r="F18" s="14" t="inlineStr">
        <is>
          <t>set</t>
        </is>
      </c>
      <c r="G18" s="20" t="inlineStr">
        <is>
          <t>MAKE</t>
        </is>
      </c>
      <c r="H18" s="16" t="n">
        <v>18</v>
      </c>
      <c r="I18" s="16">
        <f>E18*H18</f>
        <v/>
      </c>
      <c r="J18" s="12" t="inlineStr">
        <is>
          <t>Garage</t>
        </is>
      </c>
      <c r="K18" s="12" t="inlineStr">
        <is>
          <t>cad</t>
        </is>
      </c>
      <c r="L18" s="13" t="inlineStr">
        <is>
          <t>purse loop + rim weights</t>
        </is>
      </c>
    </row>
    <row r="19">
      <c r="A19" s="12" t="inlineStr">
        <is>
          <t>DR-NP-018</t>
        </is>
      </c>
      <c r="B19" s="12" t="inlineStr">
        <is>
          <t>Net</t>
        </is>
      </c>
      <c r="C19" s="13" t="inlineStr">
        <is>
          <t>Muzzle nozzle + bay housing (printed)</t>
        </is>
      </c>
      <c r="D19" s="12" t="inlineStr">
        <is>
          <t>TaloNet GM-MUZZLE</t>
        </is>
      </c>
      <c r="E19" s="14" t="n">
        <v>1</v>
      </c>
      <c r="F19" s="14" t="inlineStr">
        <is>
          <t>set</t>
        </is>
      </c>
      <c r="G19" s="20" t="inlineStr">
        <is>
          <t>MAKE</t>
        </is>
      </c>
      <c r="H19" s="16" t="n">
        <v>20</v>
      </c>
      <c r="I19" s="16">
        <f>E19*H19</f>
        <v/>
      </c>
      <c r="J19" s="12" t="inlineStr">
        <is>
          <t>Garage 3D print</t>
        </is>
      </c>
      <c r="K19" s="12" t="inlineStr">
        <is>
          <t>cad</t>
        </is>
      </c>
      <c r="L19" s="13" t="inlineStr">
        <is>
          <t>netlauncher_bay()</t>
        </is>
      </c>
    </row>
    <row r="20">
      <c r="A20" s="12" t="inlineStr">
        <is>
          <t>DR-NP-019</t>
        </is>
      </c>
      <c r="B20" s="12" t="inlineStr">
        <is>
          <t>Payload IF</t>
        </is>
      </c>
      <c r="C20" s="13" t="inlineStr">
        <is>
          <t>Payload interface PCB (STM32G474) fab + assembly</t>
        </is>
      </c>
      <c r="D20" s="12" t="inlineStr">
        <is>
          <t>TaloNet GM-PAYIF rev A</t>
        </is>
      </c>
      <c r="E20" s="14" t="n">
        <v>1</v>
      </c>
      <c r="F20" s="14" t="inlineStr">
        <is>
          <t>ea</t>
        </is>
      </c>
      <c r="G20" s="15" t="inlineStr">
        <is>
          <t>OUTSOURCE</t>
        </is>
      </c>
      <c r="H20" s="16" t="n">
        <v>65</v>
      </c>
      <c r="I20" s="16">
        <f>E20*H20</f>
        <v/>
      </c>
      <c r="J20" s="12" t="inlineStr">
        <is>
          <t>JLCPCB/PCBWay</t>
        </is>
      </c>
      <c r="K20" s="12" t="inlineStr">
        <is>
          <t>docs/06 §10</t>
        </is>
      </c>
      <c r="L20" s="13" t="inlineStr">
        <is>
          <t>interlock + driver carrier</t>
        </is>
      </c>
    </row>
    <row r="21">
      <c r="H21" s="18" t="inlineStr">
        <is>
          <t>SUBTOTAL</t>
        </is>
      </c>
      <c r="I21" s="19">
        <f>SUM(I2:I20)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40" customWidth="1" min="3" max="3"/>
    <col width="26" customWidth="1" min="4" max="4"/>
    <col width="6" customWidth="1" min="5" max="5"/>
    <col width="7" customWidth="1" min="6" max="6"/>
    <col width="11" customWidth="1" min="7" max="7"/>
    <col width="11" customWidth="1" min="8" max="8"/>
    <col width="12" customWidth="1" min="9" max="9"/>
    <col width="18" customWidth="1" min="10" max="10"/>
    <col width="9" customWidth="1" min="11" max="11"/>
    <col width="40" customWidth="1" min="12" max="12"/>
  </cols>
  <sheetData>
    <row r="1" ht="30" customHeight="1">
      <c r="A1" s="11" t="inlineStr">
        <is>
          <t>ID</t>
        </is>
      </c>
      <c r="B1" s="11" t="inlineStr">
        <is>
          <t>Category</t>
        </is>
      </c>
      <c r="C1" s="11" t="inlineStr">
        <is>
          <t>Item / Description</t>
        </is>
      </c>
      <c r="D1" s="11" t="inlineStr">
        <is>
          <t>Mfr / Part No.</t>
        </is>
      </c>
      <c r="E1" s="11" t="inlineStr">
        <is>
          <t>Qty</t>
        </is>
      </c>
      <c r="F1" s="11" t="inlineStr">
        <is>
          <t>Unit</t>
        </is>
      </c>
      <c r="G1" s="11" t="inlineStr">
        <is>
          <t>Disp</t>
        </is>
      </c>
      <c r="H1" s="11" t="inlineStr">
        <is>
          <t>Unit USD</t>
        </is>
      </c>
      <c r="I1" s="11" t="inlineStr">
        <is>
          <t>Ext USD</t>
        </is>
      </c>
      <c r="J1" s="11" t="inlineStr">
        <is>
          <t>Vendor</t>
        </is>
      </c>
      <c r="K1" s="11" t="inlineStr">
        <is>
          <t>Ref</t>
        </is>
      </c>
      <c r="L1" s="11" t="inlineStr">
        <is>
          <t>Notes</t>
        </is>
      </c>
    </row>
    <row r="2">
      <c r="A2" s="12" t="inlineStr">
        <is>
          <t>FA-CP-001</t>
        </is>
      </c>
      <c r="B2" s="12" t="inlineStr">
        <is>
          <t>Compute</t>
        </is>
      </c>
      <c r="C2" s="13" t="inlineStr">
        <is>
          <t>Raspberry Pi Compute Module 4 (4GB/32GB)</t>
        </is>
      </c>
      <c r="D2" s="12" t="inlineStr">
        <is>
          <t>Raspberry Pi CM4104032</t>
        </is>
      </c>
      <c r="E2" s="14" t="n">
        <v>1</v>
      </c>
      <c r="F2" s="14" t="inlineStr">
        <is>
          <t>ea</t>
        </is>
      </c>
      <c r="G2" s="17" t="inlineStr">
        <is>
          <t>BUY</t>
        </is>
      </c>
      <c r="H2" s="16" t="n">
        <v>75</v>
      </c>
      <c r="I2" s="16">
        <f>E2*H2</f>
        <v/>
      </c>
      <c r="J2" s="12" t="inlineStr">
        <is>
          <t>PiHut / DigiKey</t>
        </is>
      </c>
      <c r="K2" s="12" t="inlineStr">
        <is>
          <t>docs/09</t>
        </is>
      </c>
      <c r="L2" s="13" t="inlineStr">
        <is>
          <t>runs forensics/</t>
        </is>
      </c>
    </row>
    <row r="3">
      <c r="A3" s="12" t="inlineStr">
        <is>
          <t>FA-CP-002</t>
        </is>
      </c>
      <c r="B3" s="12" t="inlineStr">
        <is>
          <t>Compute</t>
        </is>
      </c>
      <c r="C3" s="13" t="inlineStr">
        <is>
          <t>CM4 carrier board (USB3, NVMe, GbE, DSI)</t>
        </is>
      </c>
      <c r="D3" s="12" t="inlineStr">
        <is>
          <t>Waveshare CM4-IO-BASE-B</t>
        </is>
      </c>
      <c r="E3" s="14" t="n">
        <v>1</v>
      </c>
      <c r="F3" s="14" t="inlineStr">
        <is>
          <t>ea</t>
        </is>
      </c>
      <c r="G3" s="17" t="inlineStr">
        <is>
          <t>BUY</t>
        </is>
      </c>
      <c r="H3" s="16" t="n">
        <v>45</v>
      </c>
      <c r="I3" s="16">
        <f>E3*H3</f>
        <v/>
      </c>
      <c r="J3" s="12" t="inlineStr">
        <is>
          <t>Waveshare</t>
        </is>
      </c>
      <c r="K3" s="12" t="inlineStr">
        <is>
          <t>docs/09</t>
        </is>
      </c>
      <c r="L3" s="13" t="inlineStr">
        <is>
          <t>I/O for appliance</t>
        </is>
      </c>
    </row>
    <row r="4">
      <c r="A4" s="12" t="inlineStr">
        <is>
          <t>FA-UI-001</t>
        </is>
      </c>
      <c r="B4" s="12" t="inlineStr">
        <is>
          <t>Display</t>
        </is>
      </c>
      <c r="C4" s="13" t="inlineStr">
        <is>
          <t>7" capacitive touchscreen, 1024x600 DSI</t>
        </is>
      </c>
      <c r="D4" s="12" t="inlineStr">
        <is>
          <t>Waveshare 7inch DSI LCD</t>
        </is>
      </c>
      <c r="E4" s="14" t="n">
        <v>1</v>
      </c>
      <c r="F4" s="14" t="inlineStr">
        <is>
          <t>ea</t>
        </is>
      </c>
      <c r="G4" s="17" t="inlineStr">
        <is>
          <t>BUY</t>
        </is>
      </c>
      <c r="H4" s="16" t="n">
        <v>70</v>
      </c>
      <c r="I4" s="16">
        <f>E4*H4</f>
        <v/>
      </c>
      <c r="J4" s="12" t="inlineStr">
        <is>
          <t>Waveshare</t>
        </is>
      </c>
      <c r="K4" s="12" t="inlineStr">
        <is>
          <t>docs/09</t>
        </is>
      </c>
      <c r="L4" s="13" t="inlineStr">
        <is>
          <t>operator UI</t>
        </is>
      </c>
    </row>
    <row r="5">
      <c r="A5" s="12" t="inlineStr">
        <is>
          <t>FA-WB-001</t>
        </is>
      </c>
      <c r="B5" s="12" t="inlineStr">
        <is>
          <t>Write-block</t>
        </is>
      </c>
      <c r="C5" s="13" t="inlineStr">
        <is>
          <t>Hardware USB write-blocker (forensic)</t>
        </is>
      </c>
      <c r="D5" s="12" t="inlineStr">
        <is>
          <t>CRU WiebeTech USB WriteBlocker</t>
        </is>
      </c>
      <c r="E5" s="14" t="n">
        <v>1</v>
      </c>
      <c r="F5" s="14" t="inlineStr">
        <is>
          <t>ea</t>
        </is>
      </c>
      <c r="G5" s="17" t="inlineStr">
        <is>
          <t>BUY</t>
        </is>
      </c>
      <c r="H5" s="16" t="n">
        <v>350</v>
      </c>
      <c r="I5" s="16">
        <f>E5*H5</f>
        <v/>
      </c>
      <c r="J5" s="12" t="inlineStr">
        <is>
          <t>CRU Inc.</t>
        </is>
      </c>
      <c r="K5" s="12" t="inlineStr">
        <is>
          <t>docs/09</t>
        </is>
      </c>
      <c r="L5" s="13" t="inlineStr">
        <is>
          <t>trust anchor; read-only</t>
        </is>
      </c>
    </row>
    <row r="6">
      <c r="A6" s="12" t="inlineStr">
        <is>
          <t>FA-WB-002</t>
        </is>
      </c>
      <c r="B6" s="12" t="inlineStr">
        <is>
          <t>Card I/O</t>
        </is>
      </c>
      <c r="C6" s="13" t="inlineStr">
        <is>
          <t>USB SD/microSD reader (behind blocker)</t>
        </is>
      </c>
      <c r="D6" s="12" t="inlineStr">
        <is>
          <t>Kingston MobileLite Plus</t>
        </is>
      </c>
      <c r="E6" s="14" t="n">
        <v>1</v>
      </c>
      <c r="F6" s="14" t="inlineStr">
        <is>
          <t>ea</t>
        </is>
      </c>
      <c r="G6" s="17" t="inlineStr">
        <is>
          <t>BUY</t>
        </is>
      </c>
      <c r="H6" s="16" t="n">
        <v>20</v>
      </c>
      <c r="I6" s="16">
        <f>E6*H6</f>
        <v/>
      </c>
      <c r="J6" s="12" t="inlineStr">
        <is>
          <t>Kingston</t>
        </is>
      </c>
      <c r="K6" s="12" t="inlineStr">
        <is>
          <t>docs/09</t>
        </is>
      </c>
      <c r="L6" s="13" t="inlineStr">
        <is>
          <t>card intake</t>
        </is>
      </c>
    </row>
    <row r="7">
      <c r="A7" s="12" t="inlineStr">
        <is>
          <t>FA-PR-001</t>
        </is>
      </c>
      <c r="B7" s="12" t="inlineStr">
        <is>
          <t>Printer</t>
        </is>
      </c>
      <c r="C7" s="13" t="inlineStr">
        <is>
          <t>80 mm panel-mount ESC/POS thermal printer</t>
        </is>
      </c>
      <c r="D7" s="12" t="inlineStr">
        <is>
          <t>Rongta RP05 / CSN equiv</t>
        </is>
      </c>
      <c r="E7" s="14" t="n">
        <v>1</v>
      </c>
      <c r="F7" s="14" t="inlineStr">
        <is>
          <t>ea</t>
        </is>
      </c>
      <c r="G7" s="17" t="inlineStr">
        <is>
          <t>BUY</t>
        </is>
      </c>
      <c r="H7" s="16" t="n">
        <v>60</v>
      </c>
      <c r="I7" s="16">
        <f>E7*H7</f>
        <v/>
      </c>
      <c r="J7" s="12" t="inlineStr">
        <is>
          <t>Rongta</t>
        </is>
      </c>
      <c r="K7" s="12" t="inlineStr">
        <is>
          <t>docs/09</t>
        </is>
      </c>
      <c r="L7" s="13" t="inlineStr">
        <is>
          <t>report output</t>
        </is>
      </c>
    </row>
    <row r="8">
      <c r="A8" s="12" t="inlineStr">
        <is>
          <t>FA-PR-002</t>
        </is>
      </c>
      <c r="B8" s="12" t="inlineStr">
        <is>
          <t>Consumable</t>
        </is>
      </c>
      <c r="C8" s="13" t="inlineStr">
        <is>
          <t>80 mm thermal paper roll (pack of 4)</t>
        </is>
      </c>
      <c r="D8" s="12" t="inlineStr">
        <is>
          <t>Thermal 80x50 roll x4</t>
        </is>
      </c>
      <c r="E8" s="14" t="n">
        <v>1</v>
      </c>
      <c r="F8" s="14" t="inlineStr">
        <is>
          <t>pk</t>
        </is>
      </c>
      <c r="G8" s="17" t="inlineStr">
        <is>
          <t>BUY</t>
        </is>
      </c>
      <c r="H8" s="16" t="n">
        <v>12</v>
      </c>
      <c r="I8" s="16">
        <f>E8*H8</f>
        <v/>
      </c>
      <c r="J8" s="12" t="inlineStr">
        <is>
          <t>Office supply</t>
        </is>
      </c>
      <c r="K8" s="12" t="inlineStr">
        <is>
          <t>docs/10</t>
        </is>
      </c>
      <c r="L8" s="13" t="inlineStr">
        <is>
          <t>report media</t>
        </is>
      </c>
    </row>
    <row r="9">
      <c r="A9" s="12" t="inlineStr">
        <is>
          <t>FA-ST-001</t>
        </is>
      </c>
      <c r="B9" s="12" t="inlineStr">
        <is>
          <t>Storage</t>
        </is>
      </c>
      <c r="C9" s="13" t="inlineStr">
        <is>
          <t>NVMe SSD 512 GB (working/case store)</t>
        </is>
      </c>
      <c r="D9" s="12" t="inlineStr">
        <is>
          <t>Samsung 980 512GB</t>
        </is>
      </c>
      <c r="E9" s="14" t="n">
        <v>1</v>
      </c>
      <c r="F9" s="14" t="inlineStr">
        <is>
          <t>ea</t>
        </is>
      </c>
      <c r="G9" s="17" t="inlineStr">
        <is>
          <t>BUY</t>
        </is>
      </c>
      <c r="H9" s="16" t="n">
        <v>50</v>
      </c>
      <c r="I9" s="16">
        <f>E9*H9</f>
        <v/>
      </c>
      <c r="J9" s="12" t="inlineStr">
        <is>
          <t>Samsung</t>
        </is>
      </c>
      <c r="K9" s="12" t="inlineStr">
        <is>
          <t>docs/09</t>
        </is>
      </c>
      <c r="L9" s="13" t="inlineStr">
        <is>
          <t>LUKS-encrypted</t>
        </is>
      </c>
    </row>
    <row r="10">
      <c r="A10" s="12" t="inlineStr">
        <is>
          <t>FA-PW-001</t>
        </is>
      </c>
      <c r="B10" s="12" t="inlineStr">
        <is>
          <t>Power</t>
        </is>
      </c>
      <c r="C10" s="13" t="inlineStr">
        <is>
          <t>UPS HAT / DC-UPS + 18650 cells</t>
        </is>
      </c>
      <c r="D10" s="12" t="inlineStr">
        <is>
          <t>Geekworm X1200 + 2x 18650</t>
        </is>
      </c>
      <c r="E10" s="14" t="n">
        <v>1</v>
      </c>
      <c r="F10" s="14" t="inlineStr">
        <is>
          <t>set</t>
        </is>
      </c>
      <c r="G10" s="17" t="inlineStr">
        <is>
          <t>BUY</t>
        </is>
      </c>
      <c r="H10" s="16" t="n">
        <v>45</v>
      </c>
      <c r="I10" s="16">
        <f>E10*H10</f>
        <v/>
      </c>
      <c r="J10" s="12" t="inlineStr">
        <is>
          <t>Geekworm</t>
        </is>
      </c>
      <c r="K10" s="12" t="inlineStr">
        <is>
          <t>docs/09</t>
        </is>
      </c>
      <c r="L10" s="13" t="inlineStr">
        <is>
          <t>clean shutdown / field run</t>
        </is>
      </c>
    </row>
    <row r="11">
      <c r="A11" s="12" t="inlineStr">
        <is>
          <t>FA-PW-002</t>
        </is>
      </c>
      <c r="B11" s="12" t="inlineStr">
        <is>
          <t>Power</t>
        </is>
      </c>
      <c r="C11" s="13" t="inlineStr">
        <is>
          <t>AC/DC inlet + 12V PSU</t>
        </is>
      </c>
      <c r="D11" s="12" t="inlineStr">
        <is>
          <t>IEC inlet + 12V/5A PSU</t>
        </is>
      </c>
      <c r="E11" s="14" t="n">
        <v>1</v>
      </c>
      <c r="F11" s="14" t="inlineStr">
        <is>
          <t>set</t>
        </is>
      </c>
      <c r="G11" s="17" t="inlineStr">
        <is>
          <t>BUY</t>
        </is>
      </c>
      <c r="H11" s="16" t="n">
        <v>22</v>
      </c>
      <c r="I11" s="16">
        <f>E11*H11</f>
        <v/>
      </c>
      <c r="J11" s="12" t="inlineStr">
        <is>
          <t>Mean Well</t>
        </is>
      </c>
      <c r="K11" s="12" t="inlineStr">
        <is>
          <t>docs/09</t>
        </is>
      </c>
      <c r="L11" s="13" t="inlineStr">
        <is>
          <t>mains</t>
        </is>
      </c>
    </row>
    <row r="12">
      <c r="A12" s="12" t="inlineStr">
        <is>
          <t>FA-RT-001</t>
        </is>
      </c>
      <c r="B12" s="12" t="inlineStr">
        <is>
          <t>Time</t>
        </is>
      </c>
      <c r="C12" s="13" t="inlineStr">
        <is>
          <t>RTC module (UTC time source)</t>
        </is>
      </c>
      <c r="D12" s="12" t="inlineStr">
        <is>
          <t>DS3231 + coin cell</t>
        </is>
      </c>
      <c r="E12" s="14" t="n">
        <v>1</v>
      </c>
      <c r="F12" s="14" t="inlineStr">
        <is>
          <t>ea</t>
        </is>
      </c>
      <c r="G12" s="17" t="inlineStr">
        <is>
          <t>BUY</t>
        </is>
      </c>
      <c r="H12" s="16" t="n">
        <v>6</v>
      </c>
      <c r="I12" s="16">
        <f>E12*H12</f>
        <v/>
      </c>
      <c r="J12" s="12" t="inlineStr">
        <is>
          <t>Adafruit</t>
        </is>
      </c>
      <c r="K12" s="12" t="inlineStr">
        <is>
          <t>docs/09</t>
        </is>
      </c>
      <c r="L12" s="13" t="inlineStr">
        <is>
          <t>trusted timestamps</t>
        </is>
      </c>
    </row>
    <row r="13">
      <c r="A13" s="12" t="inlineStr">
        <is>
          <t>FA-EN-001</t>
        </is>
      </c>
      <c r="B13" s="12" t="inlineStr">
        <is>
          <t>Enclosure</t>
        </is>
      </c>
      <c r="C13" s="13" t="inlineStr">
        <is>
          <t>Rugged khaki enclosure (printed/CNC) + key-lock</t>
        </is>
      </c>
      <c r="D13" s="12" t="inlineStr">
        <is>
          <t>forensic_appliance.scad</t>
        </is>
      </c>
      <c r="E13" s="14" t="n">
        <v>1</v>
      </c>
      <c r="F13" s="14" t="inlineStr">
        <is>
          <t>ea</t>
        </is>
      </c>
      <c r="G13" s="20" t="inlineStr">
        <is>
          <t>MAKE</t>
        </is>
      </c>
      <c r="H13" s="16" t="n">
        <v>80</v>
      </c>
      <c r="I13" s="16">
        <f>E13*H13</f>
        <v/>
      </c>
      <c r="J13" s="12" t="inlineStr">
        <is>
          <t>Garage 3D print</t>
        </is>
      </c>
      <c r="K13" s="12" t="inlineStr">
        <is>
          <t>cad</t>
        </is>
      </c>
      <c r="L13" s="13" t="inlineStr">
        <is>
          <t>ForensIQ-1 case; tamper lock</t>
        </is>
      </c>
    </row>
    <row r="14">
      <c r="A14" s="12" t="inlineStr">
        <is>
          <t>FA-EN-002</t>
        </is>
      </c>
      <c r="B14" s="12" t="inlineStr">
        <is>
          <t>Controls</t>
        </is>
      </c>
      <c r="C14" s="13" t="inlineStr">
        <is>
          <t>Status LEDs, START/EJECT buttons, key-lock</t>
        </is>
      </c>
      <c r="D14" s="12" t="inlineStr">
        <is>
          <t>Panel control kit</t>
        </is>
      </c>
      <c r="E14" s="14" t="n">
        <v>1</v>
      </c>
      <c r="F14" s="14" t="inlineStr">
        <is>
          <t>kit</t>
        </is>
      </c>
      <c r="G14" s="17" t="inlineStr">
        <is>
          <t>BUY</t>
        </is>
      </c>
      <c r="H14" s="16" t="n">
        <v>30</v>
      </c>
      <c r="I14" s="16">
        <f>E14*H14</f>
        <v/>
      </c>
      <c r="J14" s="12" t="inlineStr">
        <is>
          <t>Adafruit/AliExpress</t>
        </is>
      </c>
      <c r="K14" s="12" t="inlineStr">
        <is>
          <t>docs/10</t>
        </is>
      </c>
      <c r="L14" s="13" t="inlineStr">
        <is>
          <t>front panel</t>
        </is>
      </c>
    </row>
    <row r="15">
      <c r="A15" s="12" t="inlineStr">
        <is>
          <t>FA-EX-001</t>
        </is>
      </c>
      <c r="B15" s="12" t="inlineStr">
        <is>
          <t>Export</t>
        </is>
      </c>
      <c r="C15" s="13" t="inlineStr">
        <is>
          <t>Write-once / WORM USB (evidence export)</t>
        </is>
      </c>
      <c r="D15" s="12" t="inlineStr">
        <is>
          <t>Kanguru WORM USB 32GB</t>
        </is>
      </c>
      <c r="E15" s="14" t="n">
        <v>1</v>
      </c>
      <c r="F15" s="14" t="inlineStr">
        <is>
          <t>ea</t>
        </is>
      </c>
      <c r="G15" s="17" t="inlineStr">
        <is>
          <t>BUY</t>
        </is>
      </c>
      <c r="H15" s="16" t="n">
        <v>40</v>
      </c>
      <c r="I15" s="16">
        <f>E15*H15</f>
        <v/>
      </c>
      <c r="J15" s="12" t="inlineStr">
        <is>
          <t>Kanguru</t>
        </is>
      </c>
      <c r="K15" s="12" t="inlineStr">
        <is>
          <t>docs/10</t>
        </is>
      </c>
      <c r="L15" s="13" t="inlineStr">
        <is>
          <t>evidentiary PDF/map</t>
        </is>
      </c>
    </row>
    <row r="16">
      <c r="A16" s="12" t="inlineStr">
        <is>
          <t>FA-CL-001</t>
        </is>
      </c>
      <c r="B16" s="12" t="inlineStr">
        <is>
          <t>Cooling</t>
        </is>
      </c>
      <c r="C16" s="13" t="inlineStr">
        <is>
          <t>60 mm fan + filtered intake</t>
        </is>
      </c>
      <c r="D16" s="12" t="inlineStr">
        <is>
          <t>Noctua NF-A6x25 5V</t>
        </is>
      </c>
      <c r="E16" s="14" t="n">
        <v>1</v>
      </c>
      <c r="F16" s="14" t="inlineStr">
        <is>
          <t>ea</t>
        </is>
      </c>
      <c r="G16" s="17" t="inlineStr">
        <is>
          <t>BUY</t>
        </is>
      </c>
      <c r="H16" s="16" t="n">
        <v>16</v>
      </c>
      <c r="I16" s="16">
        <f>E16*H16</f>
        <v/>
      </c>
      <c r="J16" s="12" t="inlineStr">
        <is>
          <t>Noctua</t>
        </is>
      </c>
      <c r="K16" s="12" t="inlineStr">
        <is>
          <t>docs/09</t>
        </is>
      </c>
      <c r="L16" s="13" t="inlineStr">
        <is>
          <t>thermal</t>
        </is>
      </c>
    </row>
    <row r="17">
      <c r="H17" s="18" t="inlineStr">
        <is>
          <t>SUBTOTAL</t>
        </is>
      </c>
      <c r="I17" s="19">
        <f>SUM(I2:I16)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40" customWidth="1" min="3" max="3"/>
    <col width="26" customWidth="1" min="4" max="4"/>
    <col width="6" customWidth="1" min="5" max="5"/>
    <col width="7" customWidth="1" min="6" max="6"/>
    <col width="11" customWidth="1" min="7" max="7"/>
    <col width="11" customWidth="1" min="8" max="8"/>
    <col width="12" customWidth="1" min="9" max="9"/>
    <col width="18" customWidth="1" min="10" max="10"/>
    <col width="9" customWidth="1" min="11" max="11"/>
    <col width="40" customWidth="1" min="12" max="12"/>
  </cols>
  <sheetData>
    <row r="1" ht="30" customHeight="1">
      <c r="A1" s="11" t="inlineStr">
        <is>
          <t>ID</t>
        </is>
      </c>
      <c r="B1" s="11" t="inlineStr">
        <is>
          <t>Category</t>
        </is>
      </c>
      <c r="C1" s="11" t="inlineStr">
        <is>
          <t>Item / Description</t>
        </is>
      </c>
      <c r="D1" s="11" t="inlineStr">
        <is>
          <t>Mfr / Part No.</t>
        </is>
      </c>
      <c r="E1" s="11" t="inlineStr">
        <is>
          <t>Qty</t>
        </is>
      </c>
      <c r="F1" s="11" t="inlineStr">
        <is>
          <t>Unit</t>
        </is>
      </c>
      <c r="G1" s="11" t="inlineStr">
        <is>
          <t>Disp</t>
        </is>
      </c>
      <c r="H1" s="11" t="inlineStr">
        <is>
          <t>Unit USD</t>
        </is>
      </c>
      <c r="I1" s="11" t="inlineStr">
        <is>
          <t>Ext USD</t>
        </is>
      </c>
      <c r="J1" s="11" t="inlineStr">
        <is>
          <t>Vendor</t>
        </is>
      </c>
      <c r="K1" s="11" t="inlineStr">
        <is>
          <t>Ref</t>
        </is>
      </c>
      <c r="L1" s="11" t="inlineStr">
        <is>
          <t>Notes</t>
        </is>
      </c>
    </row>
    <row r="2">
      <c r="A2" s="12" t="inlineStr">
        <is>
          <t>CO-WR-001</t>
        </is>
      </c>
      <c r="B2" s="12" t="inlineStr">
        <is>
          <t>Wire</t>
        </is>
      </c>
      <c r="C2" s="13" t="inlineStr">
        <is>
          <t>Silicone wire kit 10/12/14/18/20/22 AWG</t>
        </is>
      </c>
      <c r="D2" s="12" t="inlineStr">
        <is>
          <t>BNTECHGO silicone kit</t>
        </is>
      </c>
      <c r="E2" s="14" t="n">
        <v>1</v>
      </c>
      <c r="F2" s="14" t="inlineStr">
        <is>
          <t>kit</t>
        </is>
      </c>
      <c r="G2" s="17" t="inlineStr">
        <is>
          <t>BUY</t>
        </is>
      </c>
      <c r="H2" s="16" t="n">
        <v>40</v>
      </c>
      <c r="I2" s="16">
        <f>E2*H2</f>
        <v/>
      </c>
      <c r="J2" s="12" t="inlineStr">
        <is>
          <t>BNTECHGO</t>
        </is>
      </c>
      <c r="K2" s="12" t="inlineStr">
        <is>
          <t>docs/06 §9</t>
        </is>
      </c>
      <c r="L2" s="13" t="inlineStr">
        <is>
          <t>per fuse/AWG sizing</t>
        </is>
      </c>
    </row>
    <row r="3">
      <c r="A3" s="12" t="inlineStr">
        <is>
          <t>CO-WR-002</t>
        </is>
      </c>
      <c r="B3" s="12" t="inlineStr">
        <is>
          <t>Connectors</t>
        </is>
      </c>
      <c r="C3" s="13" t="inlineStr">
        <is>
          <t>XT60/XT90/JST-GH/Molex + crimp pins</t>
        </is>
      </c>
      <c r="D3" s="12" t="inlineStr">
        <is>
          <t>Amass + JST kit</t>
        </is>
      </c>
      <c r="E3" s="14" t="n">
        <v>1</v>
      </c>
      <c r="F3" s="14" t="inlineStr">
        <is>
          <t>kit</t>
        </is>
      </c>
      <c r="G3" s="17" t="inlineStr">
        <is>
          <t>BUY</t>
        </is>
      </c>
      <c r="H3" s="16" t="n">
        <v>35</v>
      </c>
      <c r="I3" s="16">
        <f>E3*H3</f>
        <v/>
      </c>
      <c r="J3" s="12" t="inlineStr">
        <is>
          <t>Amass / JST</t>
        </is>
      </c>
      <c r="K3" s="12" t="inlineStr">
        <is>
          <t>docs/06</t>
        </is>
      </c>
      <c r="L3" s="13" t="inlineStr">
        <is>
          <t>looms</t>
        </is>
      </c>
    </row>
    <row r="4">
      <c r="A4" s="12" t="inlineStr">
        <is>
          <t>CO-WR-003</t>
        </is>
      </c>
      <c r="B4" s="12" t="inlineStr">
        <is>
          <t>Insulation</t>
        </is>
      </c>
      <c r="C4" s="13" t="inlineStr">
        <is>
          <t>Heat shrink + braided sleeve + Kapton</t>
        </is>
      </c>
      <c r="D4" s="12" t="inlineStr">
        <is>
          <t>Assorted shrink kit</t>
        </is>
      </c>
      <c r="E4" s="14" t="n">
        <v>1</v>
      </c>
      <c r="F4" s="14" t="inlineStr">
        <is>
          <t>kit</t>
        </is>
      </c>
      <c r="G4" s="17" t="inlineStr">
        <is>
          <t>BUY</t>
        </is>
      </c>
      <c r="H4" s="16" t="n">
        <v>18</v>
      </c>
      <c r="I4" s="16">
        <f>E4*H4</f>
        <v/>
      </c>
      <c r="J4" s="12" t="inlineStr">
        <is>
          <t>3M</t>
        </is>
      </c>
      <c r="K4" s="12" t="inlineStr">
        <is>
          <t>build</t>
        </is>
      </c>
      <c r="L4" s="13" t="inlineStr">
        <is>
          <t>harness</t>
        </is>
      </c>
    </row>
    <row r="5">
      <c r="A5" s="12" t="inlineStr">
        <is>
          <t>CO-FS-001</t>
        </is>
      </c>
      <c r="B5" s="12" t="inlineStr">
        <is>
          <t>Fasteners</t>
        </is>
      </c>
      <c r="C5" s="13" t="inlineStr">
        <is>
          <t>M2/M2.5/M3 stainless socket-head + nylocs</t>
        </is>
      </c>
      <c r="D5" s="12" t="inlineStr">
        <is>
          <t>McMaster screw assortment</t>
        </is>
      </c>
      <c r="E5" s="14" t="n">
        <v>1</v>
      </c>
      <c r="F5" s="14" t="inlineStr">
        <is>
          <t>kit</t>
        </is>
      </c>
      <c r="G5" s="17" t="inlineStr">
        <is>
          <t>BUY</t>
        </is>
      </c>
      <c r="H5" s="16" t="n">
        <v>45</v>
      </c>
      <c r="I5" s="16">
        <f>E5*H5</f>
        <v/>
      </c>
      <c r="J5" s="12" t="inlineStr">
        <is>
          <t>McMaster-Carr</t>
        </is>
      </c>
      <c r="K5" s="12" t="inlineStr">
        <is>
          <t>build</t>
        </is>
      </c>
      <c r="L5" s="13" t="inlineStr">
        <is>
          <t>airframe + payload</t>
        </is>
      </c>
    </row>
    <row r="6">
      <c r="A6" s="12" t="inlineStr">
        <is>
          <t>CO-AD-001</t>
        </is>
      </c>
      <c r="B6" s="12" t="inlineStr">
        <is>
          <t>Adhesives</t>
        </is>
      </c>
      <c r="C6" s="13" t="inlineStr">
        <is>
          <t>Threadlocker, CA, 30-min epoxy, RTV</t>
        </is>
      </c>
      <c r="D6" s="12" t="inlineStr">
        <is>
          <t>Loctite 243 + JB Weld</t>
        </is>
      </c>
      <c r="E6" s="14" t="n">
        <v>1</v>
      </c>
      <c r="F6" s="14" t="inlineStr">
        <is>
          <t>kit</t>
        </is>
      </c>
      <c r="G6" s="17" t="inlineStr">
        <is>
          <t>BUY</t>
        </is>
      </c>
      <c r="H6" s="16" t="n">
        <v>30</v>
      </c>
      <c r="I6" s="16">
        <f>E6*H6</f>
        <v/>
      </c>
      <c r="J6" s="12" t="inlineStr">
        <is>
          <t>Loctite</t>
        </is>
      </c>
      <c r="K6" s="12" t="inlineStr">
        <is>
          <t>build</t>
        </is>
      </c>
      <c r="L6" s="13" t="inlineStr">
        <is>
          <t>vibration-proofing</t>
        </is>
      </c>
    </row>
    <row r="7">
      <c r="A7" s="12" t="inlineStr">
        <is>
          <t>CO-3D-001</t>
        </is>
      </c>
      <c r="B7" s="12" t="inlineStr">
        <is>
          <t>Filament</t>
        </is>
      </c>
      <c r="C7" s="13" t="inlineStr">
        <is>
          <t>PETG-CF / ASA filament (printed parts)</t>
        </is>
      </c>
      <c r="D7" s="12" t="inlineStr">
        <is>
          <t>Prusament PETG-CF 1kg</t>
        </is>
      </c>
      <c r="E7" s="14" t="n">
        <v>2</v>
      </c>
      <c r="F7" s="14" t="inlineStr">
        <is>
          <t>kg</t>
        </is>
      </c>
      <c r="G7" s="17" t="inlineStr">
        <is>
          <t>BUY</t>
        </is>
      </c>
      <c r="H7" s="16" t="n">
        <v>40</v>
      </c>
      <c r="I7" s="16">
        <f>E7*H7</f>
        <v/>
      </c>
      <c r="J7" s="12" t="inlineStr">
        <is>
          <t>Prusa</t>
        </is>
      </c>
      <c r="K7" s="12" t="inlineStr">
        <is>
          <t>build</t>
        </is>
      </c>
      <c r="L7" s="13" t="inlineStr">
        <is>
          <t>gimbal/spool/muzzle/enclosure</t>
        </is>
      </c>
    </row>
    <row r="8">
      <c r="A8" s="12" t="inlineStr">
        <is>
          <t>CO-TH-001</t>
        </is>
      </c>
      <c r="B8" s="12" t="inlineStr">
        <is>
          <t>Thermal</t>
        </is>
      </c>
      <c r="C8" s="13" t="inlineStr">
        <is>
          <t>Thermal pads/paste + standoffs (Jetson/CM4)</t>
        </is>
      </c>
      <c r="D8" s="12" t="inlineStr">
        <is>
          <t>Thermal kit</t>
        </is>
      </c>
      <c r="E8" s="14" t="n">
        <v>1</v>
      </c>
      <c r="F8" s="14" t="inlineStr">
        <is>
          <t>kit</t>
        </is>
      </c>
      <c r="G8" s="17" t="inlineStr">
        <is>
          <t>BUY</t>
        </is>
      </c>
      <c r="H8" s="16" t="n">
        <v>15</v>
      </c>
      <c r="I8" s="16">
        <f>E8*H8</f>
        <v/>
      </c>
      <c r="J8" s="12" t="inlineStr">
        <is>
          <t>Arctic</t>
        </is>
      </c>
      <c r="K8" s="12" t="inlineStr">
        <is>
          <t>build</t>
        </is>
      </c>
      <c r="L8" s="13" t="inlineStr">
        <is>
          <t>compute cooling</t>
        </is>
      </c>
    </row>
    <row r="9">
      <c r="H9" s="18" t="inlineStr">
        <is>
          <t>SUBTOTAL</t>
        </is>
      </c>
      <c r="I9" s="19">
        <f>SUM(I2:I8)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40" customWidth="1" min="3" max="3"/>
    <col width="26" customWidth="1" min="4" max="4"/>
    <col width="6" customWidth="1" min="5" max="5"/>
    <col width="7" customWidth="1" min="6" max="6"/>
    <col width="11" customWidth="1" min="7" max="7"/>
    <col width="11" customWidth="1" min="8" max="8"/>
    <col width="12" customWidth="1" min="9" max="9"/>
    <col width="18" customWidth="1" min="10" max="10"/>
    <col width="9" customWidth="1" min="11" max="11"/>
    <col width="40" customWidth="1" min="12" max="12"/>
  </cols>
  <sheetData>
    <row r="1" ht="30" customHeight="1">
      <c r="A1" s="11" t="inlineStr">
        <is>
          <t>ID</t>
        </is>
      </c>
      <c r="B1" s="11" t="inlineStr">
        <is>
          <t>Category</t>
        </is>
      </c>
      <c r="C1" s="11" t="inlineStr">
        <is>
          <t>Item / Description</t>
        </is>
      </c>
      <c r="D1" s="11" t="inlineStr">
        <is>
          <t>Mfr / Part No.</t>
        </is>
      </c>
      <c r="E1" s="11" t="inlineStr">
        <is>
          <t>Qty</t>
        </is>
      </c>
      <c r="F1" s="11" t="inlineStr">
        <is>
          <t>Unit</t>
        </is>
      </c>
      <c r="G1" s="11" t="inlineStr">
        <is>
          <t>Disp</t>
        </is>
      </c>
      <c r="H1" s="11" t="inlineStr">
        <is>
          <t>Unit USD</t>
        </is>
      </c>
      <c r="I1" s="11" t="inlineStr">
        <is>
          <t>Ext USD</t>
        </is>
      </c>
      <c r="J1" s="11" t="inlineStr">
        <is>
          <t>Vendor</t>
        </is>
      </c>
      <c r="K1" s="11" t="inlineStr">
        <is>
          <t>Ref</t>
        </is>
      </c>
      <c r="L1" s="11" t="inlineStr">
        <is>
          <t>Notes</t>
        </is>
      </c>
    </row>
    <row r="2">
      <c r="A2" s="12" t="inlineStr">
        <is>
          <t>OS-CN-001</t>
        </is>
      </c>
      <c r="B2" s="12" t="inlineStr">
        <is>
          <t>CNC</t>
        </is>
      </c>
      <c r="C2" s="13" t="inlineStr">
        <is>
          <t>CNC/waterjet carbon decks (2x) + alu mounts</t>
        </is>
      </c>
      <c r="D2" s="12" t="inlineStr">
        <is>
          <t>per cad STEP/STL</t>
        </is>
      </c>
      <c r="E2" s="14" t="n">
        <v>1</v>
      </c>
      <c r="F2" s="14" t="inlineStr">
        <is>
          <t>job</t>
        </is>
      </c>
      <c r="G2" s="15" t="inlineStr">
        <is>
          <t>OUTSOURCE</t>
        </is>
      </c>
      <c r="H2" s="16" t="n">
        <v>0</v>
      </c>
      <c r="I2" s="16">
        <f>E2*H2</f>
        <v/>
      </c>
      <c r="J2" s="12" t="inlineStr">
        <is>
          <t>Local CNC / SendCutSend</t>
        </is>
      </c>
      <c r="K2" s="12" t="inlineStr">
        <is>
          <t>cad</t>
        </is>
      </c>
      <c r="L2" s="13" t="inlineStr">
        <is>
          <t>covered in DR-AF lines; quote per drawing</t>
        </is>
      </c>
    </row>
    <row r="3">
      <c r="A3" s="12" t="inlineStr">
        <is>
          <t>OS-PC-001</t>
        </is>
      </c>
      <c r="B3" s="12" t="inlineStr">
        <is>
          <t>PCB</t>
        </is>
      </c>
      <c r="C3" s="13" t="inlineStr">
        <is>
          <t>Payload IF PCB fab + SMT assembly (STM32G474)</t>
        </is>
      </c>
      <c r="D3" s="12" t="inlineStr">
        <is>
          <t>TaloNet GM-PAYIF rev A</t>
        </is>
      </c>
      <c r="E3" s="14" t="n">
        <v>1</v>
      </c>
      <c r="F3" s="14" t="inlineStr">
        <is>
          <t>job</t>
        </is>
      </c>
      <c r="G3" s="15" t="inlineStr">
        <is>
          <t>OUTSOURCE</t>
        </is>
      </c>
      <c r="H3" s="16" t="n">
        <v>0</v>
      </c>
      <c r="I3" s="16">
        <f>E3*H3</f>
        <v/>
      </c>
      <c r="J3" s="12" t="inlineStr">
        <is>
          <t>JLCPCB / PCBWay</t>
        </is>
      </c>
      <c r="K3" s="12" t="inlineStr">
        <is>
          <t>docs/06 §10</t>
        </is>
      </c>
      <c r="L3" s="13" t="inlineStr">
        <is>
          <t>covered in DR-NP-019; provide gerbers+BOM+CPL</t>
        </is>
      </c>
    </row>
    <row r="4">
      <c r="A4" s="12" t="inlineStr">
        <is>
          <t>OS-AN-001</t>
        </is>
      </c>
      <c r="B4" s="12" t="inlineStr">
        <is>
          <t>Anodize</t>
        </is>
      </c>
      <c r="C4" s="13" t="inlineStr">
        <is>
          <t>Anodize/powder-coat alu parts (khaki #86855F)</t>
        </is>
      </c>
      <c r="D4" s="12" t="inlineStr">
        <is>
          <t>finish service</t>
        </is>
      </c>
      <c r="E4" s="14" t="n">
        <v>1</v>
      </c>
      <c r="F4" s="14" t="inlineStr">
        <is>
          <t>job</t>
        </is>
      </c>
      <c r="G4" s="15" t="inlineStr">
        <is>
          <t>OUTSOURCE</t>
        </is>
      </c>
      <c r="H4" s="16" t="n">
        <v>60</v>
      </c>
      <c r="I4" s="16">
        <f>E4*H4</f>
        <v/>
      </c>
      <c r="J4" s="12" t="inlineStr">
        <is>
          <t>Local finisher</t>
        </is>
      </c>
      <c r="K4" s="12" t="inlineStr">
        <is>
          <t>cad</t>
        </is>
      </c>
      <c r="L4" s="13" t="inlineStr">
        <is>
          <t>signature khaki</t>
        </is>
      </c>
    </row>
    <row r="5">
      <c r="H5" s="18" t="inlineStr">
        <is>
          <t>SUBTOTAL</t>
        </is>
      </c>
      <c r="I5" s="19">
        <f>SUM(I2:I4)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40" customWidth="1" min="3" max="3"/>
    <col width="26" customWidth="1" min="4" max="4"/>
    <col width="6" customWidth="1" min="5" max="5"/>
    <col width="7" customWidth="1" min="6" max="6"/>
    <col width="11" customWidth="1" min="7" max="7"/>
    <col width="11" customWidth="1" min="8" max="8"/>
    <col width="12" customWidth="1" min="9" max="9"/>
    <col width="18" customWidth="1" min="10" max="10"/>
    <col width="9" customWidth="1" min="11" max="11"/>
    <col width="40" customWidth="1" min="12" max="12"/>
  </cols>
  <sheetData>
    <row r="1" ht="30" customHeight="1">
      <c r="A1" s="11" t="inlineStr">
        <is>
          <t>ID</t>
        </is>
      </c>
      <c r="B1" s="11" t="inlineStr">
        <is>
          <t>Category</t>
        </is>
      </c>
      <c r="C1" s="11" t="inlineStr">
        <is>
          <t>Item / Description</t>
        </is>
      </c>
      <c r="D1" s="11" t="inlineStr">
        <is>
          <t>Mfr / Part No.</t>
        </is>
      </c>
      <c r="E1" s="11" t="inlineStr">
        <is>
          <t>Qty</t>
        </is>
      </c>
      <c r="F1" s="11" t="inlineStr">
        <is>
          <t>Unit</t>
        </is>
      </c>
      <c r="G1" s="11" t="inlineStr">
        <is>
          <t>Disp</t>
        </is>
      </c>
      <c r="H1" s="11" t="inlineStr">
        <is>
          <t>Unit USD</t>
        </is>
      </c>
      <c r="I1" s="11" t="inlineStr">
        <is>
          <t>Ext USD</t>
        </is>
      </c>
      <c r="J1" s="11" t="inlineStr">
        <is>
          <t>Vendor</t>
        </is>
      </c>
      <c r="K1" s="11" t="inlineStr">
        <is>
          <t>Ref</t>
        </is>
      </c>
      <c r="L1" s="11" t="inlineStr">
        <is>
          <t>Notes</t>
        </is>
      </c>
    </row>
    <row r="2">
      <c r="A2" s="12" t="inlineStr">
        <is>
          <t>TL-001</t>
        </is>
      </c>
      <c r="B2" s="12" t="inlineStr">
        <is>
          <t>Solder</t>
        </is>
      </c>
      <c r="C2" s="13" t="inlineStr">
        <is>
          <t>Soldering station + hot air rework</t>
        </is>
      </c>
      <c r="D2" s="12" t="inlineStr">
        <is>
          <t>Hakko FX-951 / 8586</t>
        </is>
      </c>
      <c r="E2" s="14" t="n">
        <v>1</v>
      </c>
      <c r="F2" s="14" t="inlineStr">
        <is>
          <t>ea</t>
        </is>
      </c>
      <c r="G2" s="21" t="inlineStr">
        <is>
          <t>TOOL</t>
        </is>
      </c>
      <c r="H2" s="16" t="n">
        <v>130</v>
      </c>
      <c r="I2" s="16">
        <f>E2*H2</f>
        <v/>
      </c>
      <c r="J2" s="12" t="inlineStr">
        <is>
          <t>Hakko</t>
        </is>
      </c>
      <c r="K2" s="12" t="inlineStr">
        <is>
          <t>shop</t>
        </is>
      </c>
      <c r="L2" s="13" t="inlineStr">
        <is>
          <t>harness + payload IF</t>
        </is>
      </c>
    </row>
    <row r="3">
      <c r="A3" s="12" t="inlineStr">
        <is>
          <t>TL-002</t>
        </is>
      </c>
      <c r="B3" s="12" t="inlineStr">
        <is>
          <t>Crimp</t>
        </is>
      </c>
      <c r="C3" s="13" t="inlineStr">
        <is>
          <t>Ratchet crimpers (XT/JST/Molex/ferrule)</t>
        </is>
      </c>
      <c r="D3" s="12" t="inlineStr">
        <is>
          <t>IWISS crimp set</t>
        </is>
      </c>
      <c r="E3" s="14" t="n">
        <v>1</v>
      </c>
      <c r="F3" s="14" t="inlineStr">
        <is>
          <t>set</t>
        </is>
      </c>
      <c r="G3" s="21" t="inlineStr">
        <is>
          <t>TOOL</t>
        </is>
      </c>
      <c r="H3" s="16" t="n">
        <v>70</v>
      </c>
      <c r="I3" s="16">
        <f>E3*H3</f>
        <v/>
      </c>
      <c r="J3" s="12" t="inlineStr">
        <is>
          <t>IWISS</t>
        </is>
      </c>
      <c r="K3" s="12" t="inlineStr">
        <is>
          <t>shop</t>
        </is>
      </c>
      <c r="L3" s="13" t="inlineStr">
        <is>
          <t>connectors</t>
        </is>
      </c>
    </row>
    <row r="4">
      <c r="A4" s="12" t="inlineStr">
        <is>
          <t>TL-003</t>
        </is>
      </c>
      <c r="B4" s="12" t="inlineStr">
        <is>
          <t>3D print</t>
        </is>
      </c>
      <c r="C4" s="13" t="inlineStr">
        <is>
          <t>FDM 3D printer (enclosed, CF-capable)</t>
        </is>
      </c>
      <c r="D4" s="12" t="inlineStr">
        <is>
          <t>Bambu Lab X1C / Prusa MK4</t>
        </is>
      </c>
      <c r="E4" s="14" t="n">
        <v>1</v>
      </c>
      <c r="F4" s="14" t="inlineStr">
        <is>
          <t>ea</t>
        </is>
      </c>
      <c r="G4" s="21" t="inlineStr">
        <is>
          <t>TOOL</t>
        </is>
      </c>
      <c r="H4" s="16" t="n">
        <v>1200</v>
      </c>
      <c r="I4" s="16">
        <f>E4*H4</f>
        <v/>
      </c>
      <c r="J4" s="12" t="inlineStr">
        <is>
          <t>Bambu Lab</t>
        </is>
      </c>
      <c r="K4" s="12" t="inlineStr">
        <is>
          <t>shop</t>
        </is>
      </c>
      <c r="L4" s="13" t="inlineStr">
        <is>
          <t>gimbal/spool/muzzle/enclosure (CNC alt)</t>
        </is>
      </c>
    </row>
    <row r="5">
      <c r="A5" s="12" t="inlineStr">
        <is>
          <t>TL-004</t>
        </is>
      </c>
      <c r="B5" s="12" t="inlineStr">
        <is>
          <t>Measure</t>
        </is>
      </c>
      <c r="C5" s="13" t="inlineStr">
        <is>
          <t>Digital calipers + bench multimeter</t>
        </is>
      </c>
      <c r="D5" s="12" t="inlineStr">
        <is>
          <t>Mitutoyo + Fluke 117</t>
        </is>
      </c>
      <c r="E5" s="14" t="n">
        <v>1</v>
      </c>
      <c r="F5" s="14" t="inlineStr">
        <is>
          <t>set</t>
        </is>
      </c>
      <c r="G5" s="21" t="inlineStr">
        <is>
          <t>TOOL</t>
        </is>
      </c>
      <c r="H5" s="16" t="n">
        <v>180</v>
      </c>
      <c r="I5" s="16">
        <f>E5*H5</f>
        <v/>
      </c>
      <c r="J5" s="12" t="inlineStr">
        <is>
          <t>Mitutoyo/Fluke</t>
        </is>
      </c>
      <c r="K5" s="12" t="inlineStr">
        <is>
          <t>shop</t>
        </is>
      </c>
      <c r="L5" s="13" t="inlineStr">
        <is>
          <t>QA</t>
        </is>
      </c>
    </row>
    <row r="6">
      <c r="A6" s="12" t="inlineStr">
        <is>
          <t>TL-005</t>
        </is>
      </c>
      <c r="B6" s="12" t="inlineStr">
        <is>
          <t>Power</t>
        </is>
      </c>
      <c r="C6" s="13" t="inlineStr">
        <is>
          <t>Bench PSU 30V/10A + LiPo charger</t>
        </is>
      </c>
      <c r="D6" s="12" t="inlineStr">
        <is>
          <t>Riden + ISDT</t>
        </is>
      </c>
      <c r="E6" s="14" t="n">
        <v>1</v>
      </c>
      <c r="F6" s="14" t="inlineStr">
        <is>
          <t>set</t>
        </is>
      </c>
      <c r="G6" s="21" t="inlineStr">
        <is>
          <t>TOOL</t>
        </is>
      </c>
      <c r="H6" s="16" t="n">
        <v>150</v>
      </c>
      <c r="I6" s="16">
        <f>E6*H6</f>
        <v/>
      </c>
      <c r="J6" s="12" t="inlineStr">
        <is>
          <t>Riden / ISDT</t>
        </is>
      </c>
      <c r="K6" s="12" t="inlineStr">
        <is>
          <t>shop</t>
        </is>
      </c>
      <c r="L6" s="13" t="inlineStr">
        <is>
          <t>bring-up + battery</t>
        </is>
      </c>
    </row>
    <row r="7">
      <c r="A7" s="12" t="inlineStr">
        <is>
          <t>TL-006</t>
        </is>
      </c>
      <c r="B7" s="12" t="inlineStr">
        <is>
          <t>Hand</t>
        </is>
      </c>
      <c r="C7" s="13" t="inlineStr">
        <is>
          <t>Torque drivers, hex set, helping hands, heat gun</t>
        </is>
      </c>
      <c r="D7" s="12" t="inlineStr">
        <is>
          <t>Wera + misc</t>
        </is>
      </c>
      <c r="E7" s="14" t="n">
        <v>1</v>
      </c>
      <c r="F7" s="14" t="inlineStr">
        <is>
          <t>set</t>
        </is>
      </c>
      <c r="G7" s="21" t="inlineStr">
        <is>
          <t>TOOL</t>
        </is>
      </c>
      <c r="H7" s="16" t="n">
        <v>120</v>
      </c>
      <c r="I7" s="16">
        <f>E7*H7</f>
        <v/>
      </c>
      <c r="J7" s="12" t="inlineStr">
        <is>
          <t>Wera</t>
        </is>
      </c>
      <c r="K7" s="12" t="inlineStr">
        <is>
          <t>shop</t>
        </is>
      </c>
      <c r="L7" s="13" t="inlineStr">
        <is>
          <t>assembly</t>
        </is>
      </c>
    </row>
    <row r="8">
      <c r="A8" s="12" t="inlineStr">
        <is>
          <t>TL-007</t>
        </is>
      </c>
      <c r="B8" s="12" t="inlineStr">
        <is>
          <t>Safety</t>
        </is>
      </c>
      <c r="C8" s="13" t="inlineStr">
        <is>
          <t>LiPo-safe bag/bunker, CO2-safe handling, fume ext.</t>
        </is>
      </c>
      <c r="D8" s="12" t="inlineStr">
        <is>
          <t>Safety kit</t>
        </is>
      </c>
      <c r="E8" s="14" t="n">
        <v>1</v>
      </c>
      <c r="F8" s="14" t="inlineStr">
        <is>
          <t>set</t>
        </is>
      </c>
      <c r="G8" s="21" t="inlineStr">
        <is>
          <t>TOOL</t>
        </is>
      </c>
      <c r="H8" s="16" t="n">
        <v>90</v>
      </c>
      <c r="I8" s="16">
        <f>E8*H8</f>
        <v/>
      </c>
      <c r="J8" s="12" t="inlineStr">
        <is>
          <t>misc</t>
        </is>
      </c>
      <c r="K8" s="12" t="inlineStr">
        <is>
          <t>shop</t>
        </is>
      </c>
      <c r="L8" s="13" t="inlineStr">
        <is>
          <t>battery + CO2 + solder fumes</t>
        </is>
      </c>
    </row>
    <row r="9">
      <c r="H9" s="18" t="inlineStr">
        <is>
          <t>SUBTOTAL</t>
        </is>
      </c>
      <c r="I9" s="19">
        <f>SUM(I2:I8)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</cols>
  <sheetData>
    <row r="1">
      <c r="A1" s="22" t="inlineStr">
        <is>
          <t>Subsystem</t>
        </is>
      </c>
      <c r="B1" s="22" t="inlineStr">
        <is>
          <t>Subtotal USD</t>
        </is>
      </c>
    </row>
    <row r="2">
      <c r="A2" s="23" t="inlineStr">
        <is>
          <t>Drone — Airframe &amp; Propulsion</t>
        </is>
      </c>
      <c r="B2" s="24">
        <f>'Drone — Airframe &amp; Propulsion'!I10</f>
        <v/>
      </c>
    </row>
    <row r="3">
      <c r="A3" s="23" t="inlineStr">
        <is>
          <t>Drone — Avionics, Power &amp; C2</t>
        </is>
      </c>
      <c r="B3" s="24">
        <f>'Drone — Avionics, Power &amp; C2'!I13</f>
        <v/>
      </c>
    </row>
    <row r="4">
      <c r="A4" s="23" t="inlineStr">
        <is>
          <t>Drone — Net Payload</t>
        </is>
      </c>
      <c r="B4" s="24">
        <f>'Drone — Net Payload'!I21</f>
        <v/>
      </c>
    </row>
    <row r="5">
      <c r="A5" s="23" t="inlineStr">
        <is>
          <t>Forensic Appliance (ForensIQ-1)</t>
        </is>
      </c>
      <c r="B5" s="24">
        <f>'Forensic Appliance (ForensIQ-1)'!I17</f>
        <v/>
      </c>
    </row>
    <row r="6">
      <c r="A6" s="23" t="inlineStr">
        <is>
          <t>Fasteners, Wiring &amp; Consumables</t>
        </is>
      </c>
      <c r="B6" s="24">
        <f>'Fasteners, Wiring &amp; Consumables'!I9</f>
        <v/>
      </c>
    </row>
    <row r="7">
      <c r="A7" s="23" t="inlineStr">
        <is>
          <t>Outsourced Fabrication</t>
        </is>
      </c>
      <c r="B7" s="24">
        <f>'Outsourced Fabrication'!I5</f>
        <v/>
      </c>
    </row>
    <row r="8">
      <c r="A8" s="23" t="inlineStr">
        <is>
          <t>Shop Tools &amp; Equipment</t>
        </is>
      </c>
      <c r="B8" s="24">
        <f>'Shop Tools &amp; Equipment'!I9</f>
        <v/>
      </c>
    </row>
    <row r="9">
      <c r="A9" s="25" t="inlineStr">
        <is>
          <t>Materials subtotal (incl. tools)</t>
        </is>
      </c>
      <c r="B9" s="26">
        <f>SUM(B2:B8)</f>
        <v/>
      </c>
    </row>
    <row r="10">
      <c r="A10" t="inlineStr">
        <is>
          <t>Contingency 15%</t>
        </is>
      </c>
      <c r="B10" s="27">
        <f>B9*0.15</f>
        <v/>
      </c>
    </row>
    <row r="11">
      <c r="A11" s="28" t="inlineStr">
        <is>
          <t>GRAND TOTAL (indicative)</t>
        </is>
      </c>
      <c r="B11" s="29">
        <f>B9+B10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2026-06-16T10:08:06Z</dcterms:created>
  <dcterms:modified xmlns:dcterms="http://purl.org/dc/terms/" xmlns:xsi="http://www.w3.org/2001/XMLSchema-instance" xsi:type="dcterms:W3CDTF">2026-06-16T10:08:06Z</dcterms:modified>
</cp:coreProperties>
</file>